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4"/>
  <workbookPr defaultThemeVersion="166925"/>
  <mc:AlternateContent xmlns:mc="http://schemas.openxmlformats.org/markup-compatibility/2006">
    <mc:Choice Requires="x15">
      <x15ac:absPath xmlns:x15ac="http://schemas.microsoft.com/office/spreadsheetml/2010/11/ac" url="C:\Users\Jakub\OneDrive\Karowa\Psych UW - dane wtórne\Zajecia 7\"/>
    </mc:Choice>
  </mc:AlternateContent>
  <xr:revisionPtr revIDLastSave="0" documentId="13_ncr:1_{F4DB3A08-EAB1-42FE-A5C8-C7D23F82F6F6}" xr6:coauthVersionLast="36" xr6:coauthVersionMax="36" xr10:uidLastSave="{00000000-0000-0000-0000-000000000000}"/>
  <bookViews>
    <workbookView xWindow="0" yWindow="0" windowWidth="27870" windowHeight="11910" activeTab="1" xr2:uid="{9D6B0D12-2B94-4AC3-BE4E-970B3D8C6956}"/>
  </bookViews>
  <sheets>
    <sheet name="Token" sheetId="1" r:id="rId1"/>
    <sheet name="Użytkownicy" sheetId="3" r:id="rId2"/>
    <sheet name="Profil" sheetId="2" r:id="rId3"/>
    <sheet name="Tweet" sheetId="5" r:id="rId4"/>
  </sheets>
  <definedNames>
    <definedName name="ExternalData_1" localSheetId="2" hidden="1">Profil!$C$26:$D$36</definedName>
    <definedName name="ExternalData_1" localSheetId="3" hidden="1">Tweet!$H$21:$J$113</definedName>
    <definedName name="ExternalData_1" localSheetId="1" hidden="1">Użytkownicy!$B$23:$C$26</definedName>
    <definedName name="ExternalData_2" localSheetId="2" hidden="1">Profil!$F$26:$M$126</definedName>
    <definedName name="ExternalData_2" localSheetId="3" hidden="1">Tweet!$B$21:$C$25</definedName>
    <definedName name="ExternalData_2" localSheetId="1" hidden="1">Użytkownicy!$E$23:$G$26</definedName>
    <definedName name="ExternalData_3" localSheetId="2" hidden="1">Profil!$O$26:$V$126</definedName>
    <definedName name="ExternalData_3" localSheetId="3" hidden="1">Tweet!$L$21:$M$31</definedName>
    <definedName name="ExternalData_4" localSheetId="2" hidden="1">Profil!$X$14:$Y$18</definedName>
    <definedName name="ExternalData_4" localSheetId="3" hidden="1">Tweet!$P$21:$R$116</definedName>
    <definedName name="ExternalData_5" localSheetId="2" hidden="1">Profil!$X$26:$AE$126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4" i="1" l="1"/>
  <c r="P15" i="2"/>
  <c r="AB15" i="2"/>
  <c r="AC15" i="2"/>
  <c r="X21" i="2" s="1"/>
  <c r="Q15" i="2"/>
  <c r="O21" i="2" s="1"/>
  <c r="H16" i="2"/>
  <c r="H15" i="2"/>
  <c r="F10" i="3"/>
  <c r="F11" i="3"/>
  <c r="F9" i="3"/>
  <c r="C12" i="3"/>
  <c r="D18" i="2"/>
  <c r="G18" i="2" l="1"/>
  <c r="F21" i="2" s="1"/>
  <c r="F13" i="3"/>
  <c r="F15"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48FE47-17A3-444B-9FEC-EDF6D4C4057C}" keepAlive="1" name="Query - by?usernames=BiuroNbp" description="Connection to the 'by?usernames=BiuroNbp' query in the workbook." type="5" refreshedVersion="6" background="1" saveData="1">
    <dbPr connection="Provider=Microsoft.Mashup.OleDb.1;Data Source=$Workbook$;Location=&quot;by?usernames=BiuroNbp&quot;;Extended Properties=&quot;&quot;" command="SELECT * FROM [by?usernames=BiuroNbp]"/>
  </connection>
  <connection id="2" xr16:uid="{8C8B405A-94F3-41E9-B296-49BDCCDFA7A1}" keepAlive="1" name="Query - by?usernames=PiotrZychowicz,lkwarzecha,BartosiakJacek" description="Connection to the 'by?usernames=PiotrZychowicz,lkwarzecha,BartosiakJacek' query in the workbook." type="5" refreshedVersion="6" background="1" saveData="1">
    <dbPr connection="Provider=Microsoft.Mashup.OleDb.1;Data Source=$Workbook$;Location=&quot;by?usernames=PiotrZychowicz,lkwarzecha,BartosiakJacek&quot;;Extended Properties=&quot;&quot;" command="SELECT * FROM [by?usernames=PiotrZychowicz,lkwarzecha,BartosiakJacek]"/>
  </connection>
  <connection id="3" xr16:uid="{84B14C6A-B498-4858-97A2-BD6BB31696D4}" keepAlive="1" name="Query - DatedQuery" description="Connection to the 'DatedQuery' query in the workbook." type="5" refreshedVersion="6" background="1" saveData="1">
    <dbPr connection="Provider=Microsoft.Mashup.OleDb.1;Data Source=$Workbook$;Location=DatedQuery;Extended Properties=&quot;&quot;" command="SELECT * FROM [DatedQuery]"/>
  </connection>
  <connection id="4" xr16:uid="{80533CB0-DF9A-42A7-A5D3-6F174D317822}" keepAlive="1" name="Query - Konwersacja" description="Connection to the 'Konwersacja' query in the workbook." type="5" refreshedVersion="6" background="1" saveData="1">
    <dbPr connection="Provider=Microsoft.Mashup.OleDb.1;Data Source=$Workbook$;Location=Konwersacja;Extended Properties=&quot;&quot;" command="SELECT * FROM [Konwersacja]"/>
  </connection>
  <connection id="5" xr16:uid="{1F02FF9A-63CA-4762-97E5-AD4E3D06521E}" keepAlive="1" name="Query - liking_users" description="Connection to the 'liking_users' query in the workbook." type="5" refreshedVersion="6" background="1" saveData="1">
    <dbPr connection="Provider=Microsoft.Mashup.OleDb.1;Data Source=$Workbook$;Location=liking_users;Extended Properties=&quot;&quot;" command="SELECT * FROM [liking_users]"/>
  </connection>
  <connection id="6" xr16:uid="{FCDE7D38-6053-4626-B124-2FBCCEDBE52B}" keepAlive="1" name="Query - NextToken" description="Connection to the 'NextToken' query in the workbook." type="5" refreshedVersion="6" background="1" saveData="1">
    <dbPr connection="Provider=Microsoft.Mashup.OleDb.1;Data Source=$Workbook$;Location=NextToken;Extended Properties=&quot;&quot;" command="SELECT * FROM [NextToken]"/>
  </connection>
  <connection id="7" xr16:uid="{51483C0F-A95B-43FC-9510-C8F14B823CA2}" keepAlive="1" name="Query - Pagination" description="Connection to the 'Pagination' query in the workbook." type="5" refreshedVersion="6" background="1" saveData="1">
    <dbPr connection="Provider=Microsoft.Mashup.OleDb.1;Data Source=$Workbook$;Location=Pagination;Extended Properties=&quot;&quot;" command="SELECT * FROM [Pagination]"/>
  </connection>
  <connection id="8" xr16:uid="{CDEF5A46-FC6C-4A5B-A406-0491A7E0D269}" keepAlive="1" name="Query - quote_tweets" description="Connection to the 'quote_tweets' query in the workbook." type="5" refreshedVersion="6" background="1" saveData="1">
    <dbPr connection="Provider=Microsoft.Mashup.OleDb.1;Data Source=$Workbook$;Location=quote_tweets;Extended Properties=&quot;&quot;" command="SELECT * FROM [quote_tweets]"/>
  </connection>
  <connection id="9" xr16:uid="{9CA8FB03-8F18-4A83-8C66-D8D8B4405276}" keepAlive="1" name="Query - retweeted_by" description="Connection to the 'retweeted_by' query in the workbook." type="5" refreshedVersion="6" background="1" saveData="1">
    <dbPr connection="Provider=Microsoft.Mashup.OleDb.1;Data Source=$Workbook$;Location=retweeted_by;Extended Properties=&quot;&quot;" command="SELECT * FROM [retweeted_by]"/>
  </connection>
  <connection id="10" xr16:uid="{C80E62D9-7C8E-4F3A-82C4-B489AB168260}" keepAlive="1" name="Query - tweets" description="Connection to the 'tweets' query in the workbook." type="5" refreshedVersion="6" background="1" saveData="1">
    <dbPr connection="Provider=Microsoft.Mashup.OleDb.1;Data Source=$Workbook$;Location=tweets;Extended Properties=&quot;&quot;" command="SELECT * FROM [tweets]"/>
  </connection>
  <connection id="11" xr16:uid="{E9AEB84B-3B42-4F62-9AB4-76070F09BF2C}" keepAlive="1" name="Query - tweets?tweet" description="Connection to the 'tweets?tweet' query in the workbook." type="5" refreshedVersion="6" background="1" saveData="1">
    <dbPr connection="Provider=Microsoft.Mashup.OleDb.1;Data Source=$Workbook$;Location=tweets?tweet;Extended Properties=&quot;&quot;" command="SELECT * FROM [tweets?tweet]"/>
  </connection>
</connections>
</file>

<file path=xl/sharedStrings.xml><?xml version="1.0" encoding="utf-8"?>
<sst xmlns="http://schemas.openxmlformats.org/spreadsheetml/2006/main" count="1998" uniqueCount="1534">
  <si>
    <t>https://oauth-playground.glitch.me/</t>
  </si>
  <si>
    <t>https://developer.twitter.com/apitools/api</t>
  </si>
  <si>
    <t>https://api.twitter.com/2/users/by?usernames=</t>
  </si>
  <si>
    <t>BiuroNbp</t>
  </si>
  <si>
    <t>https://api.twitter.com/2/users/by?usernames=BiuroNbp</t>
  </si>
  <si>
    <t>Authorization</t>
  </si>
  <si>
    <t>Name</t>
  </si>
  <si>
    <t>Value</t>
  </si>
  <si>
    <t>id</t>
  </si>
  <si>
    <t>1362715270448640001</t>
  </si>
  <si>
    <t>name</t>
  </si>
  <si>
    <t>Biuro Prasowe NBP</t>
  </si>
  <si>
    <t>username</t>
  </si>
  <si>
    <t>/tweets</t>
  </si>
  <si>
    <t>https://api.twitter.com/2/users/</t>
  </si>
  <si>
    <t>https://api.twitter.com/2/users/1362715270448640001/tweets</t>
  </si>
  <si>
    <t>Column1.id</t>
  </si>
  <si>
    <t>Column1.text</t>
  </si>
  <si>
    <t>1514905944857235462</t>
  </si>
  <si>
    <t>Dane #NBP: Narodowy Bank Polski wypracował w 2021 roku prawie 11 mld zł zysku. 
Więcej informacji ⬇️
https://t.co/OjCiUGktLg https://t.co/SgzkttIrdv</t>
  </si>
  <si>
    <t>1513602106636255239</t>
  </si>
  <si>
    <t>RT @nbppl: Dzisiaj odbyło się spotkanie Prezesów @nbppl i @NBUkraine na temat współpracy, prowadzonych projektów i wyzwań jakie sytuacja zw…</t>
  </si>
  <si>
    <t>1513589948804390922</t>
  </si>
  <si>
    <t>RT @DavidMalpassWBG: During my meeting with @nbppl Governor Adam Glapiński, I commended Poland’s rapid action to provide financial access f…</t>
  </si>
  <si>
    <t>1513589934334038018</t>
  </si>
  <si>
    <t>RT @nbppl: Dziś odbyło się spotkanie Prezesa @nbppl z Prezesem @WorldBank @DavidMalpassWBG na temat współpracy między Narodowym Bankiem Pol…</t>
  </si>
  <si>
    <t>1512064477142794248</t>
  </si>
  <si>
    <t>Prezes #NBP na konferencji prasowej, 7.04.2022: „Jesteśmy w fazie zacieśniania polityki pieniężnej i nie skupujemy żadnych obligacji.” https://t.co/8mNO75dcay</t>
  </si>
  <si>
    <t>1512061705269833729</t>
  </si>
  <si>
    <t>Prezes #NBP na konferencji prasowej, 7.04.2022: „Szacujemy, że około 50-60% inflacji to elementy z szoków podażowych.” https://t.co/zsLsezJFZ2</t>
  </si>
  <si>
    <t>1512058147585724423</t>
  </si>
  <si>
    <t>Prezes #NBP na konferencji prasowej, 7.04.2022: „Dalsze umocnienie złotego będzie spójne z fundamentami polskiej gospodarki, będzie jednocześnie działać ograniczająco na inflację.” https://t.co/4FyUhqAPqa</t>
  </si>
  <si>
    <t>1512056906386444293</t>
  </si>
  <si>
    <t>Prezes #NBP na konferencji prasowej, 7.04.2022: „Główną przyczyną wzrostu cen jest wojna na terenie Ukrainy spowodowana agresją Rosji.”</t>
  </si>
  <si>
    <t>1508436571648843785</t>
  </si>
  <si>
    <t>RT @nbppl: Komunikat prasowy o ustanowieniu dwustronnej linii swapowej między Europejskim Bankiem Centralnym a Narodowym Bankiem Polskim.
W…</t>
  </si>
  <si>
    <t>1506933649274454020</t>
  </si>
  <si>
    <t>RT @nbppl: Przepraszamy za utrudnienia z dostępem do strony https://t.co/0iO1BI7Eri - trwają prace przywracające ciągłość funkcjonowania.</t>
  </si>
  <si>
    <t>Wartość</t>
  </si>
  <si>
    <t>Konkatenacja:</t>
  </si>
  <si>
    <t>Początek</t>
  </si>
  <si>
    <t>ID profilu do stalkowania</t>
  </si>
  <si>
    <t xml:space="preserve">O co nam chodzi: </t>
  </si>
  <si>
    <t>Podstawowe pytanie</t>
  </si>
  <si>
    <t>https://developer.twitter.com/en/docs/twitter-api/tweets/timelines/quick-start</t>
  </si>
  <si>
    <t>Dokumentacja:</t>
  </si>
  <si>
    <t>https://developer.twitter.com/en/docs/twitter-api/users/lookup/quick-start/user-lookup</t>
  </si>
  <si>
    <t>Nazwy użytkowników</t>
  </si>
  <si>
    <t>API Twitter wymagać będzie informacji o identyfikatorze użytkownika. Pokaże tutaj jak go wydobyć</t>
  </si>
  <si>
    <t>ID profilu</t>
  </si>
  <si>
    <t>1. Wyciągniemy teraz informacje z konkretnego profilu -podstawowe pytanie zwróci nam tekst 10 tweetów. - przejrzymy jak to przeklikać</t>
  </si>
  <si>
    <t>Dane do zapytania:</t>
  </si>
  <si>
    <t>Wynik:</t>
  </si>
  <si>
    <t xml:space="preserve">Masowe nazwy </t>
  </si>
  <si>
    <t>https://developer.twitter.com/en/docs/twitter-api/data-dictionary/object-model/tweet</t>
  </si>
  <si>
    <t>Zmodyfikujemy poprzednie zdanie - chcemy się dowiedzieć czegoś o tweetach</t>
  </si>
  <si>
    <t xml:space="preserve">Zmodyfikujemy poprzednie zdanie - chcemy się dowiedzieć czegoś o tweetach kilku użytkowników. </t>
  </si>
  <si>
    <t>Będziemy chceli podać do linku liste rozdzielaną przecinkami</t>
  </si>
  <si>
    <t>PiotrZychowicz</t>
  </si>
  <si>
    <t>ID</t>
  </si>
  <si>
    <t>Do listy:</t>
  </si>
  <si>
    <t>BartosiakJacek</t>
  </si>
  <si>
    <t>lkwarzecha</t>
  </si>
  <si>
    <t>Lista</t>
  </si>
  <si>
    <t>https://api.twitter.com/2/users/by?usernames=PiotrZychowicz,lkwarzecha,BartosiakJacek</t>
  </si>
  <si>
    <t>Column1.name</t>
  </si>
  <si>
    <t>Column1.username</t>
  </si>
  <si>
    <t>718470902904709120</t>
  </si>
  <si>
    <t>Piotr Zychowicz</t>
  </si>
  <si>
    <t>135529058</t>
  </si>
  <si>
    <t>Łukasz Warzecha</t>
  </si>
  <si>
    <t>3028219306</t>
  </si>
  <si>
    <t>Jacek Bartosiak</t>
  </si>
  <si>
    <t>tweet.fields</t>
  </si>
  <si>
    <t>Przydadzą się nam takie pola:</t>
  </si>
  <si>
    <t>max_results</t>
  </si>
  <si>
    <t>Pole</t>
  </si>
  <si>
    <t>Do zapytania</t>
  </si>
  <si>
    <t>Budujemy link:</t>
  </si>
  <si>
    <t xml:space="preserve">Do zapytania: </t>
  </si>
  <si>
    <t>id,text,public_metrics,created_at, source</t>
  </si>
  <si>
    <t>Column1.created_at</t>
  </si>
  <si>
    <t>Column1.source</t>
  </si>
  <si>
    <t>Column1.public_metrics.retweet_count</t>
  </si>
  <si>
    <t>Column1.public_metrics.reply_count</t>
  </si>
  <si>
    <t>Column1.public_metrics.like_count</t>
  </si>
  <si>
    <t>Column1.public_metrics.quote_count</t>
  </si>
  <si>
    <t>2022-04-15T09:58:17.000Z</t>
  </si>
  <si>
    <t>Twitter Web App</t>
  </si>
  <si>
    <t>2022-04-11T19:37:18.000Z</t>
  </si>
  <si>
    <t>Twitter for iPhone</t>
  </si>
  <si>
    <t>2022-04-11T18:48:59.000Z</t>
  </si>
  <si>
    <t>2022-04-11T18:48:56.000Z</t>
  </si>
  <si>
    <t>2022-04-07T13:47:18.000Z</t>
  </si>
  <si>
    <t>2022-04-07T13:36:17.000Z</t>
  </si>
  <si>
    <t>2022-04-07T13:22:09.000Z</t>
  </si>
  <si>
    <t>2022-04-07T13:17:13.000Z</t>
  </si>
  <si>
    <t>2022-03-28T13:31:18.000Z</t>
  </si>
  <si>
    <t>2022-03-24T09:59:14.000Z</t>
  </si>
  <si>
    <t>2022-03-23T16:47:01.000Z</t>
  </si>
  <si>
    <t>1506673883516215296</t>
  </si>
  <si>
    <t>RT @PKOBP: Do 10 tysięcy hrywien na osobę (która ukończyła 18 lat), mogą od 25.03 wymienić obywatele Ukrainy w 52 wybranych oddziałach PKO…</t>
  </si>
  <si>
    <t>2022-03-22T16:20:02.000Z</t>
  </si>
  <si>
    <t>1506304706506895362</t>
  </si>
  <si>
    <t>RT @nbppl: Prof. Adam Glapiński, Prezes #NBP: „Bardzo się cieszę z uregulowania tej ważnej dla uchodźców kwestii”. (3/3)
Więcej informacji…</t>
  </si>
  <si>
    <t>2022-03-22T16:20:00.000Z</t>
  </si>
  <si>
    <t>1506304698587963392</t>
  </si>
  <si>
    <t>RT @nbppl: Prof. Adam Glapiński, Prezes #NBP: „Od pierwszego dnia wojny pracowaliśmy w NBP, razem z naszymi przyjaciółmi z Narodowego Banku…</t>
  </si>
  <si>
    <t>2022-03-22T16:19:55.000Z</t>
  </si>
  <si>
    <t>1506304675221585927</t>
  </si>
  <si>
    <t>RT @nbppl: Prof. Adam Glapiński, Prezes #NBP: „Wielu przedstawicieli dzielnego Narodu Ukraińskiego uciekając przed zbrodniczą agresją wojen…</t>
  </si>
  <si>
    <t>2022-03-21T18:26:44.000Z</t>
  </si>
  <si>
    <t>1505974204482654216</t>
  </si>
  <si>
    <t>RT @nbppl: Komunikat specjalny - Umowa między bankami centralnymi Polski i Ukrainy: https://t.co/hdkkRpvm54</t>
  </si>
  <si>
    <t>2022-03-21T17:39:08.000Z</t>
  </si>
  <si>
    <t>1505962223784665092</t>
  </si>
  <si>
    <t>RT @nbppl: Ważny komunikat #NBP ⬇️
https://t.co/E8gfsK8Da2 https://t.co/pA4ecwQwms</t>
  </si>
  <si>
    <t>2022-03-17T18:33:10.000Z</t>
  </si>
  <si>
    <t>1504526270066999301</t>
  </si>
  <si>
    <t>RT @BGoduslawski: ‼️ Ważne info ‼️ Dopiero w przyszłym tygodniu ruszy wymiana hrywny w PKO BP. NBP pomoże w przeprowadzeniu tego procesu ht…</t>
  </si>
  <si>
    <t>2022-03-09T14:53:48.000Z</t>
  </si>
  <si>
    <t>1501571963906670594</t>
  </si>
  <si>
    <t>Prezes #NBP na konferencji prasowej, 9.03.2022: „Każdy inwestor, który zna Polskę, zna polską gospodarkę, wie, że to jest stabilny, opłacalny rejon świata.”</t>
  </si>
  <si>
    <t>2022-03-09T14:53:30.000Z</t>
  </si>
  <si>
    <t>1501571885846474756</t>
  </si>
  <si>
    <t>Prezes #NBP na konferencji prasowej, 9.03.2022: „Z naszego punktu widzenia najważniejsze jest przezwyciężenie inflacji. […] do tego zmierzamy.”</t>
  </si>
  <si>
    <t>2022-03-09T14:52:53.000Z</t>
  </si>
  <si>
    <t>1501571730938208267</t>
  </si>
  <si>
    <t>Prezes #NBP na konferencji prasowej, 9.03.2022: Jeżeli jednak sytuacja gospodarcza będzie kształtowała się zgodnie z naszymi obecnymi oczekiwaniami, to w kolejnych miesiącach będziemy dalej podnosić stopy procentowe NBP.</t>
  </si>
  <si>
    <t>2022-03-09T14:52:37.000Z</t>
  </si>
  <si>
    <t>1501571663510622214</t>
  </si>
  <si>
    <t>Prezes #NBP na konferencji, 9.03.2022: Podwyżka [stóp] o 75 punktów bazowych jest najbardziej rozsądnym posunięciem. […] Utrzymujemy się cały czas w cyklu podwyżek, trudno powiedzieć jak długo będziemy się w nim utrzymywać.</t>
  </si>
  <si>
    <t>2022-03-09T14:52:15.000Z</t>
  </si>
  <si>
    <t>1501571571030401025</t>
  </si>
  <si>
    <t>Prezes #NBP na konferencji, 9.03.2022: Napływ emigrantów jest korzystny dla gospodarki. Oznacza przyspieszenie wzrostu gospodarczego, zwiększenie potencjału pracy, zwiększenie skali wytwarzanego #PKB.</t>
  </si>
  <si>
    <t>2022-03-09T14:51:54.000Z</t>
  </si>
  <si>
    <t>1501571485978214401</t>
  </si>
  <si>
    <t>Prezes #NBP na konferencji, 9.03.2022: Rynek pracy jest bardzo mocny. Stopa bezrobocia jest jedną z najniższych w Unii Europejskiej. Liczba pracujących jest wyższa niż przed pandemią. Wzrosła aktywność zawodowa.</t>
  </si>
  <si>
    <t>2022-03-09T14:51:32.000Z</t>
  </si>
  <si>
    <t>1501571391249911813</t>
  </si>
  <si>
    <t>[2/2]: W IV kwartale ubiegłego roku #PKB wzrósł o ponad 7 proc., w pierwszym kwartale tego roku wzrost wyniesie prawdopodobnie również ok. 7 proc., w całym roku wyraźnie ponad 4 proc.</t>
  </si>
  <si>
    <t>2022-03-09T14:51:07.000Z</t>
  </si>
  <si>
    <t>1501571286627237894</t>
  </si>
  <si>
    <t>Prezes #NBP na konferencji prasowej, 9.03.2022: [1/2] Dynamika cen w Polsce jest więc istotnie podwyższona [podobnie] jak w innych krajach świata […] koniunktura w Polsce jest bardzo korzystna.</t>
  </si>
  <si>
    <t>2022-03-09T14:38:15.000Z</t>
  </si>
  <si>
    <t>1501568050776219650</t>
  </si>
  <si>
    <t>Prezes #NBP na konferencji prasowej, 9.03.2022: Presja na deprecjację złotego obserwowana w ostatnim okresie wynikała w dużej mierze ze wzrostu globalnej awersji inwestorów światowych do ryzyka. Fundamentalnie złoty powinien być jednak znacznie mocniejszy niż teraz.</t>
  </si>
  <si>
    <t>2022-03-09T14:38:03.000Z</t>
  </si>
  <si>
    <t>1501568000557780993</t>
  </si>
  <si>
    <t>Prezes #NBP na konferencji prasowej, 9.03.2022: Obserwowana w ostatnim okresie presja na osłabienie złotego nie ma uzasadnienia w mocnych fundamentach gospodarczych Polski.</t>
  </si>
  <si>
    <t>2022-03-09T14:33:58.000Z</t>
  </si>
  <si>
    <t>1501566973251047428</t>
  </si>
  <si>
    <t>Prezes #NBP na konferencji prasowej, 9.03.2022: Cała Rada Polityki Pieniężnej […] jest zdeterminowana, aby w możliwie krótkim czasie doprowadzić inflację do celu [NBP].</t>
  </si>
  <si>
    <t>2022-03-09T14:27:21.000Z</t>
  </si>
  <si>
    <t>1501565305155371008</t>
  </si>
  <si>
    <t>RT @nbppl: Prezes #NBP na konferencji prasowej 9.03: Wczoraj #RPP ponownie podwyższyła stopy procentowe NBP w tym referencyjną do 3,5 proc.…</t>
  </si>
  <si>
    <t>2022-03-08T15:17:51.000Z</t>
  </si>
  <si>
    <t>1501215628723695626</t>
  </si>
  <si>
    <t>RT @nbppl: Komunikat prasowy z posiedzenia RPP w dniu 8 marca 2022 r. ⬇
https://t.co/HflOAGwwpj
#NBP</t>
  </si>
  <si>
    <t>2022-03-04T15:41:39.000Z</t>
  </si>
  <si>
    <t>1499772067041918976</t>
  </si>
  <si>
    <t>RT @nbppl: Komunikat #NBP.
W dniu dzisiejszym Narodowy Bank Polski dokonał sprzedaży pewnej ilości walut obcych za złote.
https://t.co/VXvR…</t>
  </si>
  <si>
    <t>2022-03-02T14:56:15.000Z</t>
  </si>
  <si>
    <t>Twitter for Android</t>
  </si>
  <si>
    <t>1499035864529358861</t>
  </si>
  <si>
    <t>RT @nbppl: Komunikat #NBP.
W dniu dzisiejszym Narodowy Bank Polski dokonał sprzedaży pewnej ilości walut obcych za złote. https://t.co/7DdL…</t>
  </si>
  <si>
    <t>2022-03-01T16:49:08.000Z</t>
  </si>
  <si>
    <t>1498701885443817472</t>
  </si>
  <si>
    <t>RT @nbppl: Komunikat #NBP.
W dniu dzisiejszym Narodowy Bank Polski dokonał sprzedaży pewnej ilości walut obcych za złote. https://t.co/rMFB…</t>
  </si>
  <si>
    <t>2022-03-01T15:29:50.000Z</t>
  </si>
  <si>
    <t>1498681927137738752</t>
  </si>
  <si>
    <t>RT @nbppl: Komunikat Specjalny #NBP ⬇
https://t.co/B4Ktnj0dWE https://t.co/Pu9GB4FTpa</t>
  </si>
  <si>
    <t>2022-02-26T18:43:23.000Z</t>
  </si>
  <si>
    <t>1497643472840495118</t>
  </si>
  <si>
    <t>RT @nbppl: Są to jednak chwilowe niedogodności, a Narodowy Bank Polski posiada wystarczające zapasy gotówki. (2/2)</t>
  </si>
  <si>
    <t>2022-02-26T18:43:16.000Z</t>
  </si>
  <si>
    <t>1497643443824300043</t>
  </si>
  <si>
    <t>RT @nbppl: Narodowy Bank Polski informuje: W Polsce nie zabraknie gotówki. Z uwagi na zwiększoną skalę transakcji, w niektórych lokalizacja…</t>
  </si>
  <si>
    <t>2022-02-25T12:41:46.000Z</t>
  </si>
  <si>
    <t>1497190082255724590</t>
  </si>
  <si>
    <t>RT @nbppl: Ważny komunikat Narodowego Banku Polskiego⬇️
https://t.co/koVsGfg6lY
#NBP https://t.co/y6MmN0qu3G</t>
  </si>
  <si>
    <t>2022-02-24T15:32:34.000Z</t>
  </si>
  <si>
    <t>1496870678242332673</t>
  </si>
  <si>
    <t>RT @nbppl: Drugi ważny komunikat Narodowego Banku Polskiego⬇️
https://t.co/fVsdAtueYW
#NBP https://t.co/NVRG253VP0</t>
  </si>
  <si>
    <t>2022-02-24T15:24:37.000Z</t>
  </si>
  <si>
    <t>1496868678067175428</t>
  </si>
  <si>
    <t>RT @nbppl: Ważny komunikat Narodowego Banku Polskiego⬇️
https://t.co/PRVPShSmCl
#NBP https://t.co/x5oODpp5S2</t>
  </si>
  <si>
    <t>2022-02-23T08:17:02.000Z</t>
  </si>
  <si>
    <t>1496398683541319681</t>
  </si>
  <si>
    <t>Mathias Cormann, sekretarz generalny OECD, dla Obserwatora Finansowego: „…wypracowując pozycję konkurencyjną w ramach UE, a także na szeroko definiowanym rynku globalnym”. (2/2)
https://t.co/hYzu78IYcg</t>
  </si>
  <si>
    <t>1496398681876176896</t>
  </si>
  <si>
    <t>Mathias Cormann, sekretarz generalny OECD, dla Obserwatora Finansowego: „Polska, podobnie jak inne kraje Europy Środkowej, osiągała wyjątkowo dobre wyniki w ostatnich dekadach, stając się krajem sukcesu w handlu opartym na gospodarce rynkowej…”. (1/2)</t>
  </si>
  <si>
    <t>2022-02-23T07:51:30.000Z</t>
  </si>
  <si>
    <t>1496392258228264966</t>
  </si>
  <si>
    <t>Mathias Cormann, sekretarz generalny OECD, dla Obserwatora Finansowego: Trend wzrostowy gospodarki utrzyma się w Polsce w całym 2022 r., po silnym ożywieniu w roku 2021 ⬇️
https://t.co/cpCN5w9iqM
#NBP</t>
  </si>
  <si>
    <t>2022-02-22T09:56:32.000Z</t>
  </si>
  <si>
    <t>1496061335473434627</t>
  </si>
  <si>
    <t>https://t.co/6DuykEbmup</t>
  </si>
  <si>
    <t>2022-02-17T15:59:42.000Z</t>
  </si>
  <si>
    <t>1494340790679584778</t>
  </si>
  <si>
    <t>Dziś oprócz wywiadu w „Super Expressie” ukazał się również wywiad Prezesa #NBP w brytyjskim magazynie „The Banker” (Grupa Financial Times).
https://t.co/LaWV5JXZcj</t>
  </si>
  <si>
    <t>2022-02-17T08:36:57.000Z</t>
  </si>
  <si>
    <t>1494229368696152064</t>
  </si>
  <si>
    <t>Prezes #NBP prof. Adam Glapiński, „Super Express”: „Zrobimy wszystko, co niezbędne, by trwale obniżyć inflację”. Cały wywiad na ⬇
https://t.co/yLptBPJ837</t>
  </si>
  <si>
    <t>2022-02-15T15:01:17.000Z</t>
  </si>
  <si>
    <t>1493601313665564686</t>
  </si>
  <si>
    <t>RT @nbppl: #NBP opublikował dane o wynikach finansowych sektora bankowego w grudniu 2021 r.
Szczegóły ⬇
https://t.co/ZyhLwjfSrA</t>
  </si>
  <si>
    <t>2022-02-14T14:13:38.000Z</t>
  </si>
  <si>
    <t>1493226931902423044</t>
  </si>
  <si>
    <t>RT @nbppl: Dane #NBP: Bilans płatniczy Polski w grudniu 2021 r. ⬇
https://t.co/diHov7ClDn</t>
  </si>
  <si>
    <t>2022-02-11T16:07:50.000Z</t>
  </si>
  <si>
    <t>1492168510025445376</t>
  </si>
  <si>
    <t>@PatrykSlowik @ps_priv @hatakumba @anodro_anna Gratulujemy!</t>
  </si>
  <si>
    <t>2022-02-11T14:19:05.000Z</t>
  </si>
  <si>
    <t>1492141143810842626</t>
  </si>
  <si>
    <t>Rozstrzygnięto Konkurs o nagrodę Prezesa #NBP „Wpływ szoku pandemicznego na wzrost gospodarczy i inflację”. 
W Konkursie dla dziennikarzy przyznano nagrodę główną i dwa wyróżnienia.
Gratulujemy!
Więcej informacji ⬇
https://t.co/LMEk9LiW8U https://t.co/G09bXeRM5Z</t>
  </si>
  <si>
    <t>2022-02-11T09:45:24.000Z</t>
  </si>
  <si>
    <t>1492072267462983681</t>
  </si>
  <si>
    <t>Wprost Biznes, 9.02.2022 r.: „Prezes NBP Adam Glapiński podziękował podczas konferencji prasowej prezydentowi Andrzejowi Dudzie za nominację na kolejną kadencję. Szef Banku Centralnego podkreślił, że jego ponowny wybór byłby korzystny dla gospodarki”.
https://t.co/mlFOV8nfxC
#NBP</t>
  </si>
  <si>
    <t>2022-02-11T09:23:36.000Z</t>
  </si>
  <si>
    <t>1492066780252098560</t>
  </si>
  <si>
    <t>„Ma za sobą argumenty ważne zarówno dla bezpieczeństwa obywateli, jak państwa. A jeden nawet o charakterze globalnym, zahaczający o inwigilacyjne praktyki w państwie, w którym skończył się rok Bawołu, a zaczął rok Tygrysa”. (3/3)</t>
  </si>
  <si>
    <t>2022-02-11T09:23:35.000Z</t>
  </si>
  <si>
    <t>1492066777546858507</t>
  </si>
  <si>
    <t>„Przemawia to może do wyobraźni, szczególnie tych, którzy złoto widzą na palcu własnym, żony czy koleżanki z pracy. Jednak na miejscu PR-owców prezesa wysuwałbym intensywniej mało znany spór o gotówkę”. (2/3)</t>
  </si>
  <si>
    <t>1492066774786977793</t>
  </si>
  <si>
    <t>https://t.co/A6aqElXWP3, 10.02.2022 r.: „Niedługo odbędzie się głosowanie nad drugą kadencją prezesa Glapińskiego. Jako argument na rzecz swojej kandydatury podkreśla on na przykład sprawę zakupu ton złota”. (1/3)
https://t.co/tDv3na5EmH</t>
  </si>
  <si>
    <t>2022-02-11T08:20:26.000Z</t>
  </si>
  <si>
    <t>1492050882728501248</t>
  </si>
  <si>
    <t>RT @AgencjaISB: Kropiwnicki z NBP: Podniesienie stopy rezerwy obowiąz. to ważny element walki z inflacją https://t.co/flBfM8x4wN</t>
  </si>
  <si>
    <t>2022-02-10T16:39:21.000Z</t>
  </si>
  <si>
    <t>1491814052917620742</t>
  </si>
  <si>
    <t>Waszyngton (PAP) USA: „Najwyższa inflacja od 40 lat.
W USA inflacja wzrosła w styczniu o 0,6 proc., a w ujęciu rocznym osiągnęła poziom 7,5 proc., najwyższy od 1982 roku”.</t>
  </si>
  <si>
    <t>2022-02-10T10:05:06.000Z</t>
  </si>
  <si>
    <t>1491714835574366211</t>
  </si>
  <si>
    <t>PAP: Komisja Europejska podwyższyła prognozę wzrostu PKB Polski w 2022 r. do 5,5 proc. z 5,2 proc. szacowanych jesienią ub. r.</t>
  </si>
  <si>
    <t>2022-02-10T08:06:45.000Z</t>
  </si>
  <si>
    <t>1491685052425588737</t>
  </si>
  <si>
    <t>RT @nbppl: Zapraszamy na wykład „Działalność wywiadu naukowo-technicznego i ekonomicznego PRL w latach 1956-1990" dr. Witolda Bagieńskiego…</t>
  </si>
  <si>
    <t>2022-02-09T14:41:48.000Z</t>
  </si>
  <si>
    <t>1491422082449960962</t>
  </si>
  <si>
    <t>[2/2] Prezes #NBP: „(…)Pomijając moją osobę, byłoby to korzystne dla Polski i polskiej gospodarki, bo umocniłoby międzynarodowe przekonanie o stabilności polskiej waluty, o stabilności polskiej gospodarki, o stabilności polityki gospodarczej prowadzonej w Polsce”.</t>
  </si>
  <si>
    <t>1491422080906440706</t>
  </si>
  <si>
    <t>[1/2] Prezes #NBP na konferencji prasowej, 9.02.2022: „Chciałbym podziękować Panu Prezydentowi @AndrzejDuda za zaufanie, jakim mnie obdarzył i wyznaczenie mnie kandydatem na Prezesa NBP na następną kadencję”.</t>
  </si>
  <si>
    <t>2022-02-08T14:57:00.000Z</t>
  </si>
  <si>
    <t>1491063521186316293</t>
  </si>
  <si>
    <t>RT @nbppl: Komunikat prasowy z posiedzenia RPP w dniu 8 lutego 2022 r. ⬇
https://t.co/6eAy1JtmNc
#NBP</t>
  </si>
  <si>
    <t>2022-02-08T14:00:58.000Z</t>
  </si>
  <si>
    <t>1491049418186899461</t>
  </si>
  <si>
    <t>RT @nbppl: Od jutra do nabycia dwie nowe monety kolekcjonerskie #NBP – złota o nominale 500 zł i srebrna o nominale 50 zł „Skarby Stanisław…</t>
  </si>
  <si>
    <t>2022-02-02T21:47:24.000Z</t>
  </si>
  <si>
    <t>1488992471950450688</t>
  </si>
  <si>
    <t>„Najważniejszym priorytetowym celem NBP jest obecnie jak najszybsze znaczące obniżenie inflacji. Dlatego też w obecnej sytuacji gospodarczej umocnienie złotego byłoby spójne z zacieśnieniem polityki pieniężnej, którego dokonujemy i wspierałoby obniżenie inflacji"-Prezes NBP (PAP)</t>
  </si>
  <si>
    <t>2022-02-02T21:47:23.000Z</t>
  </si>
  <si>
    <t>1488992470486687749</t>
  </si>
  <si>
    <t>„Rynki finansowe są pod silnym wpływem groźby agresji Rosji na Ukrainę, ale fundamenty polskiej gospodarki są tak silne, że i w takiej hipotetycznej sytuacji nasz wzrost gospodarczy będzie szybki” – wynika ze środowej wypowiedzi na temat kursu złotego prezesa NBP dla PAP.</t>
  </si>
  <si>
    <t>2022-02-02T09:16:14.000Z</t>
  </si>
  <si>
    <t>1488803436405604352</t>
  </si>
  <si>
    <t>Prezes NBP dla Bloomberg: „(…) aprecjacja kursu wspierałaby zacieśnienie monetarne i byłaby spójna z kierunkiem działań banku centralnego. Jednocześnie jednak na kurs walutowy wpływają obecnie czynniki zewnętrzne (…)”. 2/2</t>
  </si>
  <si>
    <t>1488803435076014081</t>
  </si>
  <si>
    <t>Prezes NBP dla Bloomberg: „Jeżeli chodzi o kurs złotego, to jest to ważny kanał oddziaływania na gospodarkę. Przypomnę, że mamy reżim płynnego kursu walutowego, który nie wyklucza interwencji, w szczególności gdy jest to uzasadnione przez warunki rynkowe(…)”. 1/2</t>
  </si>
  <si>
    <t>2022-01-29T09:14:04.000Z</t>
  </si>
  <si>
    <t>1487353338089951235</t>
  </si>
  <si>
    <t>RT @BGoduslawski: Dobrze, że ten wniosek pojawia się relatywnie szybko i ucina spekulacje</t>
  </si>
  <si>
    <t>2022-01-28T09:53:27.000Z</t>
  </si>
  <si>
    <t>1487000862790668288</t>
  </si>
  <si>
    <t>RT @nbppl: Szef misji Międzynarodowego Funduszu Walutowego na Polskę o działaniach #NBP w zakresie polityki pieniężnej - drugie „Wydanie Sp…</t>
  </si>
  <si>
    <t>2022-01-27T08:56:44.000Z</t>
  </si>
  <si>
    <t>1486624202245517312</t>
  </si>
  <si>
    <t>RT @nbppl: Od dzisiaj do nabycia nowa moneta kolekcjonerska #NBP – srebrna o nominale 10 zł „Ochrona polskiej granicy wschodniej”.
#numizma…</t>
  </si>
  <si>
    <t>2022-01-27T08:55:36.000Z</t>
  </si>
  <si>
    <t>1486623917204725760</t>
  </si>
  <si>
    <t>RT @wkatowicach_eu: Kolejka #wkatowicach do #nbp. Dziś emisja kolejnej monety okolicznościowej ⤵️ https://t.co/Zj0AOl7R3F</t>
  </si>
  <si>
    <t>2022-01-19T20:10:50.000Z</t>
  </si>
  <si>
    <t>1483894741641351169</t>
  </si>
  <si>
    <t>RT @nbppl: Od jutra do nabycia dwie nowe monety kolekcjonerskie #NBP – złota o nominale 200 zł i srebrna o nominale 10 zł „Polska Reprezent…</t>
  </si>
  <si>
    <t>2022-01-18T17:57:06.000Z</t>
  </si>
  <si>
    <t>1483498697891663880</t>
  </si>
  <si>
    <t>Mamy, czytamy https://t.co/oux9GPjyb5 https://t.co/GIrtGc4kvM</t>
  </si>
  <si>
    <t>2022-01-14T08:49:23.000Z</t>
  </si>
  <si>
    <t>1481911311109967874</t>
  </si>
  <si>
    <t>RT @nbppl: Prezes #NBP Adam Glapiński dla @BIPolska  
https://t.co/50SAfYWX39</t>
  </si>
  <si>
    <t>2022-01-14T07:57:48.000Z</t>
  </si>
  <si>
    <t>1481898326643646468</t>
  </si>
  <si>
    <t>RT @BGoduslawski: Prezes @nbppl  Adam Glapiński zabiera głos w sprawie zmian klimatu i tłumaczy dlaczego bank centralny inwestuje w zielone…</t>
  </si>
  <si>
    <t>2022-01-06T09:01:53.000Z</t>
  </si>
  <si>
    <t>1479015351698526210</t>
  </si>
  <si>
    <t>RT @Defence24pl: Zysk #NBP na obronność - obowiązkowo wtedy, gdy wejdzie ustawa. Ale jest to możliwe już przy obecnych przepisach. | #Defen…</t>
  </si>
  <si>
    <t>2022-01-05T15:08:46.000Z</t>
  </si>
  <si>
    <t>1478745291918614530</t>
  </si>
  <si>
    <t>RT @PAPinformacje: Prezes NBP: zysk banku w 2021 r. znacząco wyższy niż w 2020 r., kiedy przekraczał 9 mld zł. (PAP)
#PAPinformacje https:/…</t>
  </si>
  <si>
    <t>2022-01-05T14:43:07.000Z</t>
  </si>
  <si>
    <t>1478738839489646594</t>
  </si>
  <si>
    <t>„(…) Zgodnie z przysięgą nie jest więc tak, że powinniśmy za wszelką cenę zdusić wzrost cen, wysoko podnosząc stopy. Nie jesteśmy skłonni zapłacić np. ceny wysokiego bezrobocia”. (2/2)</t>
  </si>
  <si>
    <t>1478738837522288642</t>
  </si>
  <si>
    <t>Prezes #NBP na konferencji prasowej 5.01.2022: Kiedy ponad 5 lat temu obejmowałem stanowisko Prezesa NBP przysięgałem, że „we wszystkich swoich działaniach dążyć będę do rozwoju gospodarczego Ojczyzny i pomyślności obywateli”. (1/2)</t>
  </si>
  <si>
    <t>2022-01-05T14:26:02.000Z</t>
  </si>
  <si>
    <t>1478734539648348162</t>
  </si>
  <si>
    <t>RT @nbppl: Prezes #NBP na konferencji prasowej, 5.01.2022: „Międzynarodowe instytucje, te cieszące się największym autorytetem, […] zgadzaj…</t>
  </si>
  <si>
    <t>2021-12-31T06:07:57.000Z</t>
  </si>
  <si>
    <t>1476797255755735041</t>
  </si>
  <si>
    <t>Biuro Prasowe NBP informuje:
Przedstawiciele NBP w KDPW (dyrektor Dorota Szymanek i dyrektor Kamila Sukiennik) posiadali w momencie obejmowania stanowisk,  zarówno dyrektorskich w NBP, jak i w KDPW, wymagane wykształcenie wyższe i spełniali wszystkie wymagane prawem kryteria.</t>
  </si>
  <si>
    <t>2021-12-30T08:18:52.000Z</t>
  </si>
  <si>
    <t>1476467812642299905</t>
  </si>
  <si>
    <t>RT @nbppl: Prezes #NBP Adam Glapiński dla @BIPolska 
https://t.co/XT8bk4CWH4</t>
  </si>
  <si>
    <t>2021-12-30T07:47:56.000Z</t>
  </si>
  <si>
    <t>1476460026843873283</t>
  </si>
  <si>
    <t>RT @BGoduslawski: NBP zmienia prognozę inflacji na 2022 r. -&amp;gt; teraz spodziewa się, że średniorocznie wyniesie 7,6 proc. Szczyt inflacji w c…</t>
  </si>
  <si>
    <t>2021-12-23T16:15:58.000Z</t>
  </si>
  <si>
    <t>1474051162987020293</t>
  </si>
  <si>
    <t>@Skolimowski @nbppl A skąd wniosek, że nagła?</t>
  </si>
  <si>
    <t>2021-12-23T11:55:33.000Z</t>
  </si>
  <si>
    <t>1473985626815045635</t>
  </si>
  <si>
    <t>RT @nbppl: Prezes #NBP o gospodarce w artykule „Mocne fundamenty polskiej gospodarki”, 23.12.2021 w „Wydaniu Specjalnym Obserwatora Finanso…</t>
  </si>
  <si>
    <t>2021-12-23T11:40:34.000Z</t>
  </si>
  <si>
    <t>1473981856718770176</t>
  </si>
  <si>
    <t>RT @pbujak: NBP działa w trochę innym środowisku niż czeski i węgierski bank centralny.</t>
  </si>
  <si>
    <t>2021-12-22T17:03:42.000Z</t>
  </si>
  <si>
    <t>1473700786307805187</t>
  </si>
  <si>
    <t>@Skolimowski @business @econ1st Gratulacje. Wesołych Świąt!</t>
  </si>
  <si>
    <t>2021-12-20T15:35:22.000Z</t>
  </si>
  <si>
    <t>1472953782761832452</t>
  </si>
  <si>
    <t>RT @Najwazniejsze: Agefi, najważniejszy magazyn finansowy w Luksemburgu 🇱🇺 publikuje artykuł prof. Adama GLAPIŃSKIEGO pt. "Polski cud gospo…</t>
  </si>
  <si>
    <t>2021-12-17T10:02:02.000Z</t>
  </si>
  <si>
    <t>1471782730564349958</t>
  </si>
  <si>
    <t>Premier Mateusz Morawiecki o reakcji banku centralnego na inflację: „Narodowy Bank Polski reagował bardzo właściwie”.</t>
  </si>
  <si>
    <t>2021-12-17T07:32:08.000Z</t>
  </si>
  <si>
    <t>1471745010240532481</t>
  </si>
  <si>
    <t>Już jest - Rozmowa z Prezesem NBP w Global Risk Regulator (grupa Financial Times) oraz artykuł z OMFIF - Hard work and statesmanship needed to fulfil greater European integration https://t.co/n2sETPhark</t>
  </si>
  <si>
    <t>2021-12-17T07:24:21.000Z</t>
  </si>
  <si>
    <t>1471743049181057027</t>
  </si>
  <si>
    <t>EU proposals for transcribing Basel III into the bloc’s banking rules would impinge on some member state macroprudential freedoms, potentially undermining their ability to maintain financial stability, warns Adam Glapiński, governor of the NBP. https://t.co/8JSs3QK7L8</t>
  </si>
  <si>
    <t>2021-12-16T12:22:10.000Z</t>
  </si>
  <si>
    <t>1471455609002287115</t>
  </si>
  <si>
    <t>2021-12-16 13:13  Londyn (Bloomberg) - Bank Anglii (BoE) podniósł główną stopę procentową o 15 pb do 0,25 proc. - poinformował bank w komunikacie po zakończeniu posiedzenia. (…)BoE prognozuje także szczyt inflacji w kwietniu 2022 r.</t>
  </si>
  <si>
    <t>2021-12-16T11:01:50.000Z</t>
  </si>
  <si>
    <t>1471435393937686531</t>
  </si>
  <si>
    <t>@Skolimowski To my dziękujemy i liczymy na Pana artykuł konkursowy - wiemy, że okres świąteczny, ale naprawdę gorąco zachęcamy do udziału.</t>
  </si>
  <si>
    <t>2021-12-16T10:08:37.000Z</t>
  </si>
  <si>
    <t>1471422001118076928</t>
  </si>
  <si>
    <t>@Skolimowski :-)))</t>
  </si>
  <si>
    <t>2021-12-16T10:04:57.000Z</t>
  </si>
  <si>
    <t>1471421076806766594</t>
  </si>
  <si>
    <t>@Skolimowski A napisaliśmy coś co temu przeczy?</t>
  </si>
  <si>
    <t>2021-12-16T09:54:38.000Z</t>
  </si>
  <si>
    <t>1471418483325952004</t>
  </si>
  <si>
    <t>2021-12-16 Zurych (Bloomberg) - Bank centralny Szwajcarii utrzymał stopy procentowe bez zmian. (…) Nowy wariant koronawirusa - Omikron - zwiększa niepewność w kwestii perspektyw dla gospodarki.</t>
  </si>
  <si>
    <t>2021-12-16T06:56:13.000Z</t>
  </si>
  <si>
    <t>1471373583079415809</t>
  </si>
  <si>
    <t>RT @BIPolska: Nadchodzi nowa era złotego? NBP przyspiesza prace nad cyfrową walutą https://t.co/y0ZBc8p6Zg https://t.co/E8s8ga10cr</t>
  </si>
  <si>
    <t>2021-12-15T11:13:46.000Z</t>
  </si>
  <si>
    <t>1471076008874889216</t>
  </si>
  <si>
    <t>@Skolimowski dziękujemy za wsparcie</t>
  </si>
  <si>
    <t>2021-12-15T07:33:57.000Z</t>
  </si>
  <si>
    <t>1471020691386470401</t>
  </si>
  <si>
    <t>Międzynarodowy Fundusz Walutowy: NBP podjął decyzje o podwyżkach stop procentowych we właściwym momencie.</t>
  </si>
  <si>
    <t>2021-12-14T18:32:18.000Z</t>
  </si>
  <si>
    <t>1470823982022680576</t>
  </si>
  <si>
    <t>RT @nbppl: Alfredo Cuevas, MFW, 14.12.2021: MFW pozytywnie ocenił działania polskiego banku centralnego z zakresu polityki pieniężnej. (1/2…</t>
  </si>
  <si>
    <t>2021-12-14T18:32:15.000Z</t>
  </si>
  <si>
    <t>1470823970803007495</t>
  </si>
  <si>
    <t>RT @nbppl: Wzrost inflacji CPI do 7,7 proc. [w listopadzie br.] wynikał głównie z czynników zewnętrznych, w szczególności z kształtowania s…</t>
  </si>
  <si>
    <t>2021-12-14T18:22:54.000Z</t>
  </si>
  <si>
    <t>1470821616934436866</t>
  </si>
  <si>
    <t>RT @nbppl: Zakończyła się misja Międzynarodowego Funduszu Walutowego w ramach dorocznego przeglądu gospodarki Polski.
#NBP</t>
  </si>
  <si>
    <t>Większa liczba Tweetów i dane</t>
  </si>
  <si>
    <t>&lt;- Spacja celowo zostawiona źle</t>
  </si>
  <si>
    <t>Co jeśli mamy ponad 100 rekordów</t>
  </si>
  <si>
    <t>API pozwala maks na pobranie 100 tweetów. Jeżeli chcemy więcej jest kilka metod.</t>
  </si>
  <si>
    <t>Najprostsza - podajmy zakres czasowy poszukiwanych Tweetów</t>
  </si>
  <si>
    <t>https://developer.twitter.com/en/docs/twitter-api/tweets/timelines/introduction</t>
  </si>
  <si>
    <t>end_time</t>
  </si>
  <si>
    <t>1470756488016801795</t>
  </si>
  <si>
    <t>2021-12-14T14:04:06.000Z</t>
  </si>
  <si>
    <t>RT @nbppl: Od jutra nowa moneta kolekcjonerska #NBP „Dziękujemy służbie zdrowia za poświęcenie w czasie pandemii COVID-19” – srebrna o nomi…</t>
  </si>
  <si>
    <t>1470755105553231879</t>
  </si>
  <si>
    <t>2021-12-14T13:58:37.000Z</t>
  </si>
  <si>
    <t>RT @nbppl: Bilans płatniczy Polski za październik 2021: Wartość importu towarów w porównaniu z analogicznym miesiącem 2020 r. wzrosła o 21,…</t>
  </si>
  <si>
    <t>1470714391423336453</t>
  </si>
  <si>
    <t>2021-12-14T11:16:50.000Z</t>
  </si>
  <si>
    <t>RT @PNisztor: Wojna o NBP wojną o złotego. Polecam mój krótki komentarz w dzisiejszej @GPCodziennie 👇 https://t.co/O1qHIVE25y</t>
  </si>
  <si>
    <t>1470451318196260864</t>
  </si>
  <si>
    <t>2021-12-13T17:51:28.000Z</t>
  </si>
  <si>
    <t>RT @nbppl: Zachęcamy do zapoznania się z najnowszym numerem czasopisma „Bank i Kredyt”. Przypominamy, że nasz dwumiesięcznik uzyskał ostatn…</t>
  </si>
  <si>
    <t>1470393548570832898</t>
  </si>
  <si>
    <t>2021-12-13T14:01:55.000Z</t>
  </si>
  <si>
    <t>RT @nbppl: Zakończyła się I edycja Konkursu o Nagrodę Centrum Pieniądza #NBP za najlepszą pracę magisterską z historii społeczno-gospodarcz…</t>
  </si>
  <si>
    <t>1469417706315264009</t>
  </si>
  <si>
    <t>2021-12-10T21:24:16.000Z</t>
  </si>
  <si>
    <t>@DWielowieyska @ogoreksebastian @nbppl To może rozejm na święta?:-)))</t>
  </si>
  <si>
    <t>1469394603350577157</t>
  </si>
  <si>
    <t>2021-12-10T19:52:28.000Z</t>
  </si>
  <si>
    <t>@ogoreksebastian @nbppl @DWielowieyska Ten fake news jest najgłupszy - ten i 600 kamer. Oto zapis maili i ten w którym wskazujecie cel ataku: https://t.co/BMPWZaCi33 https://t.co/vfniCqNEPv</t>
  </si>
  <si>
    <t>1469390438020775937</t>
  </si>
  <si>
    <t>2021-12-10T19:35:55.000Z</t>
  </si>
  <si>
    <t>@BIPolska https://t.co/jZJMP93mfE</t>
  </si>
  <si>
    <t>1469342096461123588</t>
  </si>
  <si>
    <t>2021-12-10T16:23:49.000Z</t>
  </si>
  <si>
    <t>@BGoduslawski Racja. Przeprosiny przyjete</t>
  </si>
  <si>
    <t>1469329328458584072</t>
  </si>
  <si>
    <t>2021-12-10T15:33:05.000Z</t>
  </si>
  <si>
    <t>@BGoduslawski Pan pyta o to czy rozpowszechniać wyrwaną z kontekstu wypowiedź z kwietnia 2020 r. (pierwsza fala pandemii), jeśli jest przytaczana w kontekście spraw ekonomicznych z końca 2021 r. (czwarta fala pandemii)? Urywek wypowiedzi sprzed niema 2 lat, z kłamstwem, że ktoś kogoś straszy?</t>
  </si>
  <si>
    <t>1469312623363637250</t>
  </si>
  <si>
    <t>2021-12-10T14:26:42.000Z</t>
  </si>
  <si>
    <t>RT @nbppl: W ocenie jednej z największych na świecie agencji ratingowych Fitch w tym roku wzrost gospodarczy w Polsce wyniesie 6,4 proc. i…</t>
  </si>
  <si>
    <t>1469312510293684228</t>
  </si>
  <si>
    <t>2021-12-10T14:26:15.000Z</t>
  </si>
  <si>
    <t>RT @nbppl: Inflacja CPI w Stanach Zjednoczonych w listopadzie wyniosła 6,8 proc. r/r (w ujęciu miesięcznym ceny konsumpcyjne wzrosły o 0,8…</t>
  </si>
  <si>
    <t>1469271275193384961</t>
  </si>
  <si>
    <t>2021-12-10T11:42:24.000Z</t>
  </si>
  <si>
    <t>RT @nbppl: Adam Tochmański, dyrektor Departamentu Systemu Płatniczego NBP, uczestnikiem debaty „Rzeczpospolitej”: „Zrównoważony rozwój obro…</t>
  </si>
  <si>
    <t>1469271255576682496</t>
  </si>
  <si>
    <t>2021-12-10T11:42:19.000Z</t>
  </si>
  <si>
    <t>RT @nbppl: Adam Tochmański, #NBP: Idealnie byłoby, gdybyśmy jako konsumenci mieli powszechny dostęp do różnych instrumentów płatniczych, i…</t>
  </si>
  <si>
    <t>1469271242721177603</t>
  </si>
  <si>
    <t>2021-12-10T11:42:16.000Z</t>
  </si>
  <si>
    <t>RT @nbppl: Adam Tochmański, #NBP: Ludzie stosują różne instrumenty płatnicze i należy im tę swobodę zostawić.
Więcej na ⬇️
https://t.co/esE…</t>
  </si>
  <si>
    <t>1469271218339655685</t>
  </si>
  <si>
    <t>2021-12-10T11:42:10.000Z</t>
  </si>
  <si>
    <t>RT @nbppl: Adam Tochmański, #NBP: W niektórych wskaźnikach, np. takich jak liczba placówek oferujących płatności bezgotówkowe i gotówkowe,…</t>
  </si>
  <si>
    <t>1469047119386341376</t>
  </si>
  <si>
    <t>2021-12-09T20:51:41.000Z</t>
  </si>
  <si>
    <t>@lwilkowicz Byłoby nam niezmiernie miło gdyby zechciał Pan dołączyć: https://t.co/HDd0XO098Q</t>
  </si>
  <si>
    <t>1469039428895223808</t>
  </si>
  <si>
    <t>2021-12-09T20:21:07.000Z</t>
  </si>
  <si>
    <t>@u_zielinska @BochynskaNikola https://t.co/2O2VaFXSwD</t>
  </si>
  <si>
    <t>1468975375841640449</t>
  </si>
  <si>
    <t>2021-12-09T16:06:36.000Z</t>
  </si>
  <si>
    <t>@BGoduslawski Ataki ze źródłem w wypowiedziach polityków to osobna lista - dobry pomysł, dziękujemy</t>
  </si>
  <si>
    <t>1468972656108077056</t>
  </si>
  <si>
    <t>2021-12-09T15:55:48.000Z</t>
  </si>
  <si>
    <t>Dziś na konferencji: „Wiele takich rzeczy w ostatnim okresie się pojawia w mediach. Nie wiadomo, czy na nie odpowiadać czy nie. (…)To aż śmieszne, że to trzeba tłumaczyć”. https://t.co/4NKGV6505h</t>
  </si>
  <si>
    <t>1468968958707441667</t>
  </si>
  <si>
    <t>2021-12-09T15:41:06.000Z</t>
  </si>
  <si>
    <t>RT @nbppl: Prezes #NBP na konferencji: „Nasze decyzje w kolejnych miesiącach będą nakierowane na obniżenie inflacji w średnim okresie.” #in…</t>
  </si>
  <si>
    <t>1468955467355283467</t>
  </si>
  <si>
    <t>2021-12-09T14:47:29.000Z</t>
  </si>
  <si>
    <t>RT @nbppl: Prezes #NBP na konferencji: „W październiku w Stanach Zjednoczonych #inflacja CPI wyniosła 6,2 proc. Była najwyższa od ponad 30…</t>
  </si>
  <si>
    <t>1468955449290461186</t>
  </si>
  <si>
    <t>2021-12-09T14:47:25.000Z</t>
  </si>
  <si>
    <t>RT @nbppl: Prezes #NBP na konferencji: „Inflacja w wielu krajach wzrosła do najwyższych poziomów od dziesięcioleci. Jest to zjawisko o zasi…</t>
  </si>
  <si>
    <t>1468955423264808975</t>
  </si>
  <si>
    <t>2021-12-09T14:47:19.000Z</t>
  </si>
  <si>
    <t>RT @nbppl: Prezes #NBP na konferencji: „W strefie euro inflacja jest najwyższa od momentu powstania i wyniosła w listopadzie 4,9 proc. […]…</t>
  </si>
  <si>
    <t>1468955410925195279</t>
  </si>
  <si>
    <t>2021-12-09T14:47:16.000Z</t>
  </si>
  <si>
    <t>RT @nbppl: Prezes #NBP na konferencji: „Europejski Bank Centralny #ECB cały czas wskazuje na przejściowy charakter podwyższonej inflacji i…</t>
  </si>
  <si>
    <t>1468955387579625473</t>
  </si>
  <si>
    <t>2021-12-09T14:47:10.000Z</t>
  </si>
  <si>
    <t>RT @nbppl: Prezes #NBP na konferencji: „Wiele rządów, w tym także polski, podejmuje działania nakierowane na ograniczenie skutków wysokich…</t>
  </si>
  <si>
    <t>1468955348769796106</t>
  </si>
  <si>
    <t>2021-12-09T14:47:01.000Z</t>
  </si>
  <si>
    <t>RT @nbppl: Prezes #NBP na konferencji: „W Polsce koniunktura jest bardzo dobra. W III kwartale 2021 r. #PKB wzrósł o 5,3 proc. W IV kwartal…</t>
  </si>
  <si>
    <t>1468955333129216011</t>
  </si>
  <si>
    <t>2021-12-09T14:46:57.000Z</t>
  </si>
  <si>
    <t>RT @nbppl: Prezes #NBP na konferencji: „Sytuacja na rynku pracy jest bardzo dobra. Mamy wysoki wzrost wynagrodzeń. Rośnie zatrudnienie, a b…</t>
  </si>
  <si>
    <t>1468955279291125767</t>
  </si>
  <si>
    <t>2021-12-09T14:46:45.000Z</t>
  </si>
  <si>
    <t>RT @nbppl: Prezes #NBP na konferencji: „Silny wzrost inflacji w Polsce w ostatnich miesiącach jest przede wszystkim efektem istotnego wzros…</t>
  </si>
  <si>
    <t>1468891974677762049</t>
  </si>
  <si>
    <t>2021-12-09T10:35:12.000Z</t>
  </si>
  <si>
    <t>RT @PAPBiznes: 40,6 proc. Polaków ma niski poziom wiedzy finansowej, 33,2 proc. średni, 26,1 proc. wysoki - badanie NBP https://t.co/kh0KsI…</t>
  </si>
  <si>
    <t>1468686800201863173</t>
  </si>
  <si>
    <t>2021-12-08T20:59:54.000Z</t>
  </si>
  <si>
    <t>Konkurs o Nagrodę Prezesa NBP „Wpływ szoku pandemicznego na wzrost gospodarczy i inflację” w toku: https://t.co/HDd0XNIyhi https://t.co/r7ucjCUsMO</t>
  </si>
  <si>
    <t>1468639259317968898</t>
  </si>
  <si>
    <t>2021-12-08T17:51:00.000Z</t>
  </si>
  <si>
    <t>[1/2]
Michał Karnowski w TVP Info: „(…)Więc jest faktem, że trwa swego rodzaju polowanie na posłów większości parlamentarnej, dlatego, że jest to większość krucha. Każdy głos ma znaczenie”.</t>
  </si>
  <si>
    <t>1468639257854152708</t>
  </si>
  <si>
    <t>2021-12-08T17:50:59.000Z</t>
  </si>
  <si>
    <t>M.Karnowski w TVP Info: „[…] Jest faktem, że formułuje się medialne wyroki bardzo szybko. Tutaj, nawet w tych dniach, próbuje się takimi fake newsami, takimi opowieściami wyssanymi z palca, zniszczyć chociażby prezesa Narodowego Banku Polskiego pana prof. Adama Glapińskiego”.</t>
  </si>
  <si>
    <t>1468599651825860612</t>
  </si>
  <si>
    <t>2021-12-08T15:13:36.000Z</t>
  </si>
  <si>
    <t>Komunikat prasowy z posiedzenia Rady Polityki Pieniężnej w dniu 8 grudnia 2021 r.⬇️
https://t.co/sP1lABRirF
#NBP #RPP</t>
  </si>
  <si>
    <t>1468540903845474304</t>
  </si>
  <si>
    <t>2021-12-08T11:20:10.000Z</t>
  </si>
  <si>
    <t>Z DGP: „W epoce mediów społecz. banki centralne są w stanie docierać ze swoim przesłaniem do zwykłych ludzi. Wymaga to od nich jednak wyjścia z wież, z których przez lata rzeczywistość obserwowały. I nie trzeba się przejmować hejterami, którzy głoszą, że to przecież nie przystoi” https://t.co/VkM4kAVM90</t>
  </si>
  <si>
    <t>1468285173318004739</t>
  </si>
  <si>
    <t>2021-12-07T18:23:59.000Z</t>
  </si>
  <si>
    <t>Telewizja dozorowa w NBP została zamontowana w 2014 roku, przed objęciem stanowiska przez Prezesa Glapińskiego i nie posiada modułu mikrofonowego do nagrywania dźwięku. Byłoby to sprzeczne z obowiązującym prawem.</t>
  </si>
  <si>
    <t>1468284969613246468</t>
  </si>
  <si>
    <t>2021-12-07T18:23:10.000Z</t>
  </si>
  <si>
    <t>@BGoduslawski Słowem porada dla nas: nie reagować jak kłamią bo pomagamy roznosić kłamstwo. Ciekawa porada, dziękujemy</t>
  </si>
  <si>
    <t>1468280375361347591</t>
  </si>
  <si>
    <t>2021-12-07T18:04:55.000Z</t>
  </si>
  <si>
    <t>@BGoduslawski Czyli Pana Redaktora zdaniem mamy nie prostować kłamstw i od razu pozywać do sądu, czy może też nie?</t>
  </si>
  <si>
    <t>1468254094221623300</t>
  </si>
  <si>
    <t>2021-12-07T16:20:29.000Z</t>
  </si>
  <si>
    <t>Kłamstwem jest również, że Prezes NBP groził komukolwiek zwolnieniem za przebywanie na pracy zdalnej. Cały artykuł w Polityce to zbiór absurdalnych kłamstw. Jaki może być cel upowszechniania takich bzdur? Czy są jakieś granice absurdu w kampanii ataków na Prezesa NBP?</t>
  </si>
  <si>
    <t>1468254092736843780</t>
  </si>
  <si>
    <t>W NBP nigdy nie było kamer, które nagrywały dźwięk. Prezes Glapiński nigdy nie zażądał instalacji ani jednej kamery! Kłamstwem jest też, że ekipa sprzątająca na piętrze Prezesa musi używać specjalnych kombinezonów. Prosimy o zaprzestania ataków i oszczerstw na Prezesa NBP.</t>
  </si>
  <si>
    <t>1468160465402568708</t>
  </si>
  <si>
    <t>2021-12-07T10:08:26.000Z</t>
  </si>
  <si>
    <t>PAP: Holandia/Inflacja największa od 40 lat (od września 1982 roku) - poinformował we wtorek Holenderski Urząd Statystyczny (CBS).</t>
  </si>
  <si>
    <t>1468151820740702212</t>
  </si>
  <si>
    <t>2021-12-07T09:34:05.000Z</t>
  </si>
  <si>
    <t>RT @nbppl: #NBP opublikował „Raport o stabilności systemu finansowego – grudzień 2021 r.” Więcej informacji ⬇️
https://t.co/cQMhNpAAZk</t>
  </si>
  <si>
    <t>1467832145146265603</t>
  </si>
  <si>
    <t>2021-12-06T12:23:49.000Z</t>
  </si>
  <si>
    <t>RT @nbppl: #NBP: Dwumiesięcznik NBP „Bank i Kredyt”, figurujący w wykazie czasopism naukowych i materiałów z konferencji międzynarodowych M…</t>
  </si>
  <si>
    <t>1466848073703899136</t>
  </si>
  <si>
    <t>2021-12-03T19:13:28.000Z</t>
  </si>
  <si>
    <t>RT @Najwazniejsze: Obecnie polska gospodarka nie musi już nikogo do siebie przekonywać. Nie jesteśmy już „ubogim krewnym”, tylko coraz zamo…</t>
  </si>
  <si>
    <t>1466803404596989973</t>
  </si>
  <si>
    <t>2021-12-03T16:15:58.000Z</t>
  </si>
  <si>
    <t>#NBP dziękuje pracownikom służby zdrowia, emitując 15 grudnia 2021 r. poświęconą im srebrną monetę kolekcjonerską „Dziękujemy służbie zdrowia za poświęcenie w czasie pandemii COVID-19”.
https://t.co/0lhjooIsn6 https://t.co/8OmcQKLCHX</t>
  </si>
  <si>
    <t>1466707422114983938</t>
  </si>
  <si>
    <t>2021-12-03T09:54:34.000Z</t>
  </si>
  <si>
    <t>RT @nbppl: Leon Podkaminer, doradca prezesa NBP, Obserwator Finansowy, 3.12.2021: "Leczenie inflacji „fiskalnej” przy pomocy narzędzi polit…</t>
  </si>
  <si>
    <t>1466701802129272838</t>
  </si>
  <si>
    <t>2021-12-03T09:32:14.000Z</t>
  </si>
  <si>
    <t>RT @nbppl: Leon Podkaminer, doradca prezesa NBP, Obserwator Finansowy, 3.12.2021: "Obwinianie RPP (i niskich stóp procentowych) za wysoką i…</t>
  </si>
  <si>
    <t>1466701787210170369</t>
  </si>
  <si>
    <t>2021-12-03T09:32:10.000Z</t>
  </si>
  <si>
    <t>RT @nbppl: Leon Podkaminer, doradca prezesa #NBP, Obserwator Finansowy, 3.12.2021: "Podwyższanie stóp procentowych nie rozwiąże problemu ob…</t>
  </si>
  <si>
    <t>1466697264043380739</t>
  </si>
  <si>
    <t>2021-12-03T09:14:12.000Z</t>
  </si>
  <si>
    <t>RT @nbppl: "Równolegle mamy do czynienia ze wzmożonym oszczędzaniem w formie rosnących depozytów bankowych tak gospodarstw domowych, jak i…</t>
  </si>
  <si>
    <t>1466697257672232972</t>
  </si>
  <si>
    <t>2021-12-03T09:14:10.000Z</t>
  </si>
  <si>
    <t>RT @nbppl: "Statystyki NBP dowodzą, że jest przeciwnie: rozmiary zadłużenia kredytowego gospodarstw domowych faktycznie stagnują – a rozmia…</t>
  </si>
  <si>
    <t>1466697249216421889</t>
  </si>
  <si>
    <t>2021-12-03T09:14:08.000Z</t>
  </si>
  <si>
    <t>RT @nbppl: "…„rozbuchana” akcja kredytowa i nadmiar „gorącego pieniądza” wydawanego w pośpiechu – bez ładu i składu. Nie jest to jednak syt…</t>
  </si>
  <si>
    <t>1466697198532538369</t>
  </si>
  <si>
    <t>2021-12-03T09:13:56.000Z</t>
  </si>
  <si>
    <t>RT @nbppl: Leon Podkaminer, doradca prezesa #NBP, Obserwator Finansowy, 3.12.2021: "Podnoszenie stóp procentowych banku centralnego, postul…</t>
  </si>
  <si>
    <t>1466694286762811395</t>
  </si>
  <si>
    <t>2021-12-03T09:02:22.000Z</t>
  </si>
  <si>
    <t>RT @nbppl: "W rzeczywistości ogólna inflacja byłaby jeszcze dużo niższa, gdyż niższe byłyby też koszty energii elektrycznej i paliw przerzu…</t>
  </si>
  <si>
    <t>1466694279267557378</t>
  </si>
  <si>
    <t>2021-12-03T09:02:20.000Z</t>
  </si>
  <si>
    <t>RT @nbppl: "Nie inaczej będzie w przypadku inflacji w listopadzie. Bez owych 4 p.p. inflacja październikowa wyniosłaby co najwyżej 2,8 proc…</t>
  </si>
  <si>
    <t>1466694272397291526</t>
  </si>
  <si>
    <t>2021-12-03T09:02:19.000Z</t>
  </si>
  <si>
    <t>RT @nbppl: Leon Podkaminer, doradca prezesa #NBP, Obserwator Finansowy, 3.12.2021: "Z 6,8 proc. inflacji (w październiku) blisko 4 p.p. zaw…</t>
  </si>
  <si>
    <t>1466453077301641225</t>
  </si>
  <si>
    <t>2021-12-02T17:03:53.000Z</t>
  </si>
  <si>
    <t>RT @nbppl: Założenia Narodowej Strategii opierają się na przekrojowym, systemowym przeglądzie rynku obrotu gotówkowego, obejmującym zarówno…</t>
  </si>
  <si>
    <t>1466450691912839173</t>
  </si>
  <si>
    <t>2021-12-02T16:54:24.000Z</t>
  </si>
  <si>
    <t>RT @nbppl: Filary Narodowej Strategii: powszechna akceptacja i dostępność gotówki, płynne zaopatrywanie rynku w walutę polską, cyberbezpiec…</t>
  </si>
  <si>
    <t>1466450596563763205</t>
  </si>
  <si>
    <t>2021-12-02T16:54:02.000Z</t>
  </si>
  <si>
    <t>RT @nbppl: Narodowa Strategia: Bezpieczeństwo i stabilność rynku obrotu gotówkowego to aspekty gwarantujące niezakłócone i płynne zaopatryw…</t>
  </si>
  <si>
    <t>1466450572899504128</t>
  </si>
  <si>
    <t>2021-12-02T16:53:56.000Z</t>
  </si>
  <si>
    <t>RT @nbppl: #NBP opublikował Narodową Strategię Bezpieczeństwa Obrotu Gotówkowego (Narodowa Strategia).
https://t.co/1pxpX5TQPV</t>
  </si>
  <si>
    <t>1466440955037466637</t>
  </si>
  <si>
    <t>2021-12-02T16:15:43.000Z</t>
  </si>
  <si>
    <t>@DziennikPL @lwilkowicz @DGPrawna Gratulujemy!</t>
  </si>
  <si>
    <t>1466438725391560704</t>
  </si>
  <si>
    <t>2021-12-02T16:06:51.000Z</t>
  </si>
  <si>
    <t>Uwaga! Dziś o 17:30 w TVP Info retransmisja całego wystąpienia Prezesa NBP na wczorajszej Gali rozdania nagród w XIX Konkursie im. W. Grabskiego. Dziękujemy za tak liczne, przychylne opinie i prośby o ponowną emisję wystąpienia, tym razem całego. https://t.co/YhlZ3uurQu</t>
  </si>
  <si>
    <t>1466435097482178570</t>
  </si>
  <si>
    <t>2021-12-02T15:52:26.000Z</t>
  </si>
  <si>
    <t>RT @nbppl: "To by było sprzeczne z nami, z naszą wiarą w człowieka. Tego nie można Polsce zrobić. To jest straszna rzecz. A z inflacją sobi…</t>
  </si>
  <si>
    <t>1466435090309910534</t>
  </si>
  <si>
    <t>2021-12-02T15:52:25.000Z</t>
  </si>
  <si>
    <t>RT @nbppl: "Tak jak patrzę na członków Zarządu, dzisiaj obecnych, Rady, która kończy swoją kadencję, nikt nas nie zmusi do tego, żebyśmy zw…</t>
  </si>
  <si>
    <t>1466435080621117448</t>
  </si>
  <si>
    <t>2021-12-02T15:52:22.000Z</t>
  </si>
  <si>
    <t>RT @nbppl: "Będziemy się starali ją do minimalnych poziomów sprowadzić. Ale nie kosztem dużego bezrobocia. Myślę, że nikt nas do tego nie z…</t>
  </si>
  <si>
    <t>1466435070214955025</t>
  </si>
  <si>
    <t>2021-12-02T15:52:20.000Z</t>
  </si>
  <si>
    <t>RT @nbppl: "Ona jest przejściowa, ale w sensie dwóch lat i to też nie wiadomo, co przecież będzie. No ale to jak w tej chwili widzimy w sen…</t>
  </si>
  <si>
    <t>1466435060484222981</t>
  </si>
  <si>
    <t>2021-12-02T15:52:18.000Z</t>
  </si>
  <si>
    <t>RT @nbppl: "Według aktualnych naszych przewidywań po pierwszym kwartale będzie maleć. (…)Szef Fed-u, Powell, powiedział, (…) że niestety ta…</t>
  </si>
  <si>
    <t>1466435051424522265</t>
  </si>
  <si>
    <t>2021-12-02T15:52:15.000Z</t>
  </si>
  <si>
    <t>RT @nbppl: Prezes NBP podczas gali Grabskiego: "Zrobimy wszystko, żeby inflacja trwała jak najkrócej, żeby była jak najłagodniejsza". (1/6)</t>
  </si>
  <si>
    <t>1466434078316679169</t>
  </si>
  <si>
    <t>2021-12-02T15:48:23.000Z</t>
  </si>
  <si>
    <t>RT @nbppl: "W tym zacietrzewieniu ściśle politycznym zaczęli to robić. No straszne. Ubolewam nad tym. My musimy być ponad to". (4/4)</t>
  </si>
  <si>
    <t>1466434072671051785</t>
  </si>
  <si>
    <t>2021-12-02T15:48:22.000Z</t>
  </si>
  <si>
    <t>RT @nbppl: "Nie atakuje poprzednich prezesów i nie będę atakował następnych, bo to są organy. (…) Nie będę podważał autorytet banku. No nie…</t>
  </si>
  <si>
    <t>1466434064697679874</t>
  </si>
  <si>
    <t>2021-12-02T15:48:20.000Z</t>
  </si>
  <si>
    <t>RT @nbppl: "Wszystkich szanujmy. Czy słyszeli Państwo, żebym ja publicznie skrytykował któregoś z poprzednich prezesów NBP? Po prostu jeste…</t>
  </si>
  <si>
    <t>1466434056325840898</t>
  </si>
  <si>
    <t>2021-12-02T15:48:18.000Z</t>
  </si>
  <si>
    <t>RT @nbppl: Prezes NBP podczas gali Grabskiego: "To jest skomplikowane, ale ponad to wszystko, po prostu brońmy instytucji. A prezes Narodow…</t>
  </si>
  <si>
    <t>1466433500303790085</t>
  </si>
  <si>
    <t>2021-12-02T15:46:06.000Z</t>
  </si>
  <si>
    <t>RT @nbppl: "Pracujemy dla Polski, dla wszystkich obywateli. Proszę się nie dać w to wbić. Nie atakować tych instytucji, na których jest pol…</t>
  </si>
  <si>
    <t>1466433485527293967</t>
  </si>
  <si>
    <t>2021-12-02T15:46:02.000Z</t>
  </si>
  <si>
    <t>RT @nbppl: "Ludzie, którzy chcą, żeby zniknęła niepodległa Polska i powstała Republika Federalna Europy. Oni są Polscy, a my jesteśmy PiS-o…</t>
  </si>
  <si>
    <t>1466433478925459456</t>
  </si>
  <si>
    <t>2021-12-02T15:46:01.000Z</t>
  </si>
  <si>
    <t>RT @nbppl: "No bo rząd jest PiS-owski, parlament PiS-owski, Trybunał PiS-owski, prezydent PiS-owski, być może niewłaściwie wybrany jak oni…</t>
  </si>
  <si>
    <t>1466433473460199433</t>
  </si>
  <si>
    <t>2021-12-02T15:45:59.000Z</t>
  </si>
  <si>
    <t>RT @nbppl: "Pewien taki najbardziej zapalczywy z nich wszystkich już emerytowany prawie, jeśli chodzi o wiek, zapiekły „ekonomista”, użył t…</t>
  </si>
  <si>
    <t>1466433468246675456</t>
  </si>
  <si>
    <t>2021-12-02T15:45:58.000Z</t>
  </si>
  <si>
    <t>RT @nbppl: "Wśród tych instytucji Narodowy Bank Polski jest właśnie taką instytucją, też. Tu zbieramy najlepsze kadry, są najlepsze standar…</t>
  </si>
  <si>
    <t>1466433456443957250</t>
  </si>
  <si>
    <t>2021-12-02T15:45:55.000Z</t>
  </si>
  <si>
    <t>RT @nbppl: "Ale się ostatnio psują. To jest naszą siłą i energia ludzi. Ludzie chcą się dorabiać. Widzą ten dystans, chcą się dorabiać, chc…</t>
  </si>
  <si>
    <t>1466433446176243717</t>
  </si>
  <si>
    <t>2021-12-02T15:45:53.000Z</t>
  </si>
  <si>
    <t>RT @nbppl: Prezes NBP podczas gali Grabskiego: "Jak wiecie nie boję się mocnych słów, politycy tego nie powiedzą. Szereg naszych instytucji…</t>
  </si>
  <si>
    <t>1466431369286979597</t>
  </si>
  <si>
    <t>2021-12-02T15:37:38.000Z</t>
  </si>
  <si>
    <t>RT @nbppl: "I wtedy nasze szanse rosną. Trzeba inwestować w edukację, w innowacje. Nasze instytucje są coraz bardziej sprawne". (3/3)</t>
  </si>
  <si>
    <t>1466431359312932878</t>
  </si>
  <si>
    <t>2021-12-02T15:37:35.000Z</t>
  </si>
  <si>
    <t>RT @nbppl: "Trzeba to ludziom zapewnić, nawet kosztem tych najbogatszych ludzi trzeba zapewnić, żeby wszyscy byli, oczywiście sensownie, za…</t>
  </si>
  <si>
    <t>1466431351188557835</t>
  </si>
  <si>
    <t>2021-12-02T15:37:33.000Z</t>
  </si>
  <si>
    <t>RT @nbppl: Prezes NBP podczas Gali Grabskiego: "U nas nie możemy dopuścić do bezrobocia, bo to będzie destrukcja". (1/3)</t>
  </si>
  <si>
    <t>1466430890901446663</t>
  </si>
  <si>
    <t>2021-12-02T15:35:44.000Z</t>
  </si>
  <si>
    <t>RT @nbppl: "Ale tempo wzrostu mamy miażdżące dla naszych konkurentów. My się zbliżamy i oni czują nasz oddech na karku. Takie kraje jak Wło…</t>
  </si>
  <si>
    <t>1466430882227625990</t>
  </si>
  <si>
    <t>2021-12-02T15:35:41.000Z</t>
  </si>
  <si>
    <t>RT @nbppl: "A przedtem, żeby tutaj Niemcy się panoszyli przez drugą wojnę, a przedtem żeby nas rozerwali na kawałki, bo chcieliśmy poprzez…</t>
  </si>
  <si>
    <t>1466430875663577094</t>
  </si>
  <si>
    <t>2021-12-02T15:35:40.000Z</t>
  </si>
  <si>
    <t>RT @nbppl: "Bo kraje zachodnie pozwoliły, żeby komunizm się tu panoszył tyle lat, depcząc naszą godność osobistą, też, i narodową". (4/6)</t>
  </si>
  <si>
    <t>1466430857502236676</t>
  </si>
  <si>
    <t>2021-12-02T15:35:36.000Z</t>
  </si>
  <si>
    <t>RT @nbppl: "My się nie chcemy równać, my jesteśmy mniej zamożni cały czas trzykrotnie, czasami więcej od tych krajów zachodnich, bo taka je…</t>
  </si>
  <si>
    <t>1466430850522918913</t>
  </si>
  <si>
    <t>2021-12-02T15:35:34.000Z</t>
  </si>
  <si>
    <t>RT @nbppl: "Jak się ma do tego cud gospodarczy Niemiec po drugiej wojnie światowej, do tego wracam? No nijak się ma. Środki zewnętrzne i ni…</t>
  </si>
  <si>
    <t>1466430818289659916</t>
  </si>
  <si>
    <t>2021-12-02T15:35:26.000Z</t>
  </si>
  <si>
    <t>RT @nbppl: Prezes NBP podczas Gali Grabskiego: "I czy to jest cud gospodarczy, to co mamy w Polsce? Absolutnie. Jak ktoś kwestionuje cud go…</t>
  </si>
  <si>
    <t>1466429786587373568</t>
  </si>
  <si>
    <t>2021-12-02T15:31:20.000Z</t>
  </si>
  <si>
    <t>RT @nbppl: "Ja jako prezes banku teoretycznie powinienem powiedzieć, że niezależnie jakie będzie bezrobocie powinnyśmy zdusić inflację. Nie…</t>
  </si>
  <si>
    <t>1466429780245549063</t>
  </si>
  <si>
    <t>2021-12-02T15:31:19.000Z</t>
  </si>
  <si>
    <t>RT @nbppl: "Powiem tyle. Bezrobocie jest największym kosztem, jaki może być. Bezrobocie jest najgorszą katastrofą, jaka może spotkać społec…</t>
  </si>
  <si>
    <t>Paginacja</t>
  </si>
  <si>
    <t>https://developer.twitter.com/en/docs/twitter-api/pagination</t>
  </si>
  <si>
    <t>Lepszą chociaż nieco złożoną metodą jest tzw. paginacja</t>
  </si>
  <si>
    <t>next_token</t>
  </si>
  <si>
    <t>7140dibdnow9c7btw3z3axw230aygdmdzhtzbly2pxh6b</t>
  </si>
  <si>
    <t>result_count</t>
  </si>
  <si>
    <t>newest_id</t>
  </si>
  <si>
    <t>oldest_id</t>
  </si>
  <si>
    <t xml:space="preserve">Z pola meta możemy pobrać następującą tabelkę: </t>
  </si>
  <si>
    <t>Następnie wstawiamy zawartość pola next token do zapytania</t>
  </si>
  <si>
    <t>pagination_token</t>
  </si>
  <si>
    <t>1466429724746559490</t>
  </si>
  <si>
    <t>2021-12-02T15:31:05.000Z</t>
  </si>
  <si>
    <t>RT @nbppl: "Nie ma tak dobrej sytuacji jak u nas. Wyszliśmy ze wzrostem gospodarczym od razu po pandemii. Kontrolujemy sytuację, ona jest z…</t>
  </si>
  <si>
    <t>1466429713992269828</t>
  </si>
  <si>
    <t>2021-12-02T15:31:03.000Z</t>
  </si>
  <si>
    <t>RT @nbppl: "Bezrobocie to jest destrukcja rodzin, destrukcja ludzi, którzy często nie wracają już w ogóle do życia zawodowego. Mamy taką sy…</t>
  </si>
  <si>
    <t>1466429707067572233</t>
  </si>
  <si>
    <t>2021-12-02T15:31:01.000Z</t>
  </si>
  <si>
    <t>RT @nbppl: Prezes NBP podczas Gali Grabskiego: "My naprawdę żyjemy przed wielkimi wyborami – jak z tego wyjść teraz. Jakie są relacje międz…</t>
  </si>
  <si>
    <t>1466428615449534469</t>
  </si>
  <si>
    <t>2021-12-02T15:26:41.000Z</t>
  </si>
  <si>
    <t>RT @nbppl: "Gospodarka jest dla człowieka. Trochę rynku, ten motor, ta gospodarka i korzyści z tego dla wszystkich członków społeczeństwa.…</t>
  </si>
  <si>
    <t>1466428605207138311</t>
  </si>
  <si>
    <t>2021-12-02T15:26:39.000Z</t>
  </si>
  <si>
    <t>RT @nbppl: "A do tego dochodzi wojsko, policja itd. No więc to wszystko musi być utrzymywane przez ten czysty mechanizm gospodarczy(…)". (2…</t>
  </si>
  <si>
    <t>1466428596612911118</t>
  </si>
  <si>
    <t>2021-12-02T15:26:37.000Z</t>
  </si>
  <si>
    <t>RT @nbppl: Prezes NBP podczas Gali Grabskiego: "My w Polsce mamy takie poglądy, że gospodarka powinna być dosyć solidarna, że nie pozwolimy…</t>
  </si>
  <si>
    <t>1466426851157544967</t>
  </si>
  <si>
    <t>2021-12-02T15:19:40.000Z</t>
  </si>
  <si>
    <t>RT @nbppl: "To jest wszystko ok. Ale proszę żeby oddziaływać na innych, żeby nie przeinaczać faktów, nie wyrywać z kontekstu (…)". (2/2)</t>
  </si>
  <si>
    <t>1466426844396363787</t>
  </si>
  <si>
    <t>2021-12-02T15:19:39.000Z</t>
  </si>
  <si>
    <t>RT @nbppl: Prezes NBP podczas Gali Grabskiego: "Oczywiście jest wspaniałą rzeczą i normalną, że państwo [dziennikarze] mają inne zdanie w n…</t>
  </si>
  <si>
    <t>1466426411787431947</t>
  </si>
  <si>
    <t>2021-12-02T15:17:56.000Z</t>
  </si>
  <si>
    <t>RT @nbppl: "Bo ja prezentuje stanowisko całej Rady. Jak przegram głosowanie w Zarządzie jednym głosem, to też wychodzę i mówię państwu w im…</t>
  </si>
  <si>
    <t>1466426404694855690</t>
  </si>
  <si>
    <t>2021-12-02T15:17:54.000Z</t>
  </si>
  <si>
    <t>RT @nbppl: "Jeśli ja zostanę przegłosowany na posiedzeniu Rady Polityki Pieniężnej, przegram głosowanie jednym głosem, to ja muszę do Państ…</t>
  </si>
  <si>
    <t>1466426397640085508</t>
  </si>
  <si>
    <t>2021-12-02T15:17:52.000Z</t>
  </si>
  <si>
    <t>RT @nbppl: "Ja to mówię albo w imieniu Zarządu Narodowego Banku Polskiego, albo w imieniu Rady Polityki Pieniężnej". (4/6)</t>
  </si>
  <si>
    <t>1466426364555321349</t>
  </si>
  <si>
    <t>2021-12-02T15:17:44.000Z</t>
  </si>
  <si>
    <t>RT @nbppl: "Nie jest rzeczą uczciwą, żeby mówić, to czasami niektórzy dziennikarze w poważnych wydawałoby się stacjach mówią - on coś tam z…</t>
  </si>
  <si>
    <t>1466426357286678533</t>
  </si>
  <si>
    <t>2021-12-02T15:17:43.000Z</t>
  </si>
  <si>
    <t>RT @nbppl: "Ale jestem też jedynym organem z tych trzech, który ma prawo, ale także obowiązek, żeby publicznie prezentować stanowisko banku…</t>
  </si>
  <si>
    <t>1466426349090918415</t>
  </si>
  <si>
    <t>2021-12-02T15:17:41.000Z</t>
  </si>
  <si>
    <t>RT @nbppl: Prezes NBP podczas Gali Grabskiego: "Ja jestem przewodniczącym Rady Polityki Pieniężnej, dziesięcioosobowej i prezesem NBP, a wi…</t>
  </si>
  <si>
    <t>1466424445971673099</t>
  </si>
  <si>
    <t>2021-12-02T15:10:07.000Z</t>
  </si>
  <si>
    <t>RT @nbppl: "To nie jest żadna hiperinflacja, to nie jest super inflacja. (…) Jest podwyższona inflacja, która dotyczy prawie całego świata.…</t>
  </si>
  <si>
    <t>1466424438610616322</t>
  </si>
  <si>
    <t>2021-12-02T15:10:05.000Z</t>
  </si>
  <si>
    <t>RT @nbppl: Prezes NBP podczas gali Grabskiego:"Sytuacja Polski jest bardzo dobra. Powiem to jeszcze raz, chociaż niektóre media z upodobani…</t>
  </si>
  <si>
    <t>1466423986212982785</t>
  </si>
  <si>
    <t>2021-12-02T15:08:17.000Z</t>
  </si>
  <si>
    <t>RT @nbppl: "Rząd podejmuje decyzje, żeby to nie wpłynęło na ograniczenie wydatków socjalnych. I słusznie w obecnej sytuacji, przy tym pozio…</t>
  </si>
  <si>
    <t>1466423977858019334</t>
  </si>
  <si>
    <t>2021-12-02T15:08:15.000Z</t>
  </si>
  <si>
    <t>RT @nbppl: "Czy to w polityce socjalnej, czy w inwestycjach, w kosztach jakiś związanych z jakimiś działaniami na rzecz dobra wspólnego". (…</t>
  </si>
  <si>
    <t>1466423970908057605</t>
  </si>
  <si>
    <t>2021-12-02T15:08:14.000Z</t>
  </si>
  <si>
    <t>RT @nbppl: "Oczywiście też, to oznacza, że są mniejsze wpływy do budżetu. To oznacza, że rząd będzie miał mniejsze pieniądze na wydatki w j…</t>
  </si>
  <si>
    <t>1466423960824856589</t>
  </si>
  <si>
    <t>2021-12-02T15:08:11.000Z</t>
  </si>
  <si>
    <t>RT @nbppl: "Na to można oddziaływać tylko polityką fiskalną, to co rząd właśnie zrobił – zmniejszając podatki, akcyzę czy całkiem zdejmując…</t>
  </si>
  <si>
    <t>1466423954554474499</t>
  </si>
  <si>
    <t>2021-12-02T15:08:10.000Z</t>
  </si>
  <si>
    <t>RT @nbppl: "No nie jest skierowane. To jest skierowane do przodu, na kilka kwartałów, kiedy mogą się pojawić efekty wtórne. Temu chcemy zap…</t>
  </si>
  <si>
    <t>1466423912871477248</t>
  </si>
  <si>
    <t>2021-12-02T15:08:00.000Z</t>
  </si>
  <si>
    <t>RT @nbppl: Prezes NBP podczas gali Grabskiego: "To, co my teraz zrobimy, to też przecież opinia publiczna, ten przeciętny Kowalski przyjmuj…</t>
  </si>
  <si>
    <t>1466422870603710478</t>
  </si>
  <si>
    <t>2021-12-02T15:03:51.000Z</t>
  </si>
  <si>
    <t>RT @nbppl: Prezes #NBP podczas gali Grabskiego: „Najgorszą rzeczą dlatego w historii nowoczesnej, zachodniej gospodarki było to, jak była j…</t>
  </si>
  <si>
    <t>1466422864245149705</t>
  </si>
  <si>
    <t>2021-12-02T15:03:50.000Z</t>
  </si>
  <si>
    <t>RT @nbppl: "Ale ustawodawca przecież nie musi zapisywać ani w konstytucji, ani w ustawie czegoś takiego jak zdrowy rozsądek. (…)Wiadomo, że…</t>
  </si>
  <si>
    <t>1466422858306011141</t>
  </si>
  <si>
    <t>2021-12-02T15:03:48.000Z</t>
  </si>
  <si>
    <t>RT @nbppl: Prezes #NBP podczas gali Grabskiego: „Ustawodawca nie zapisał w ustawie o Narodowym Banku Polskim rzeczywiście dbałość o stan za…</t>
  </si>
  <si>
    <t>1466422818221010949</t>
  </si>
  <si>
    <t>2021-12-02T15:03:39.000Z</t>
  </si>
  <si>
    <t>RT @nbppl: "Czy ktoś przewidział, że inflacja wybuchnie z taką siłą po kryzysie pandemicznym? (…) Po kryzysie zawsze jest jakieś ożywienie,…</t>
  </si>
  <si>
    <t>1466422807185797126</t>
  </si>
  <si>
    <t>2021-12-02T15:03:36.000Z</t>
  </si>
  <si>
    <t>RT @nbppl: Prezes #NBP podczas gali Grabskiego: „Inflacja wybuchła na całym świecie bezpośrednio po kryzysie pandemicznym. Przez kryzys pan…</t>
  </si>
  <si>
    <t>1466309117799190533</t>
  </si>
  <si>
    <t>2021-12-02T07:31:51.000Z</t>
  </si>
  <si>
    <t>RT @nbppl: Od dzisiaj dwie nowe monety kolekcjonerskie #NBP „Skarby Stanisława Augusta – Michał Korybut Wiśniowiecki” – złota o nominale 50…</t>
  </si>
  <si>
    <t>1466132392247279616</t>
  </si>
  <si>
    <t>2021-12-01T19:49:36.000Z</t>
  </si>
  <si>
    <t>RT @TomaszSakiewicz: Adam Glapiński dla @GPtygodnik „ o walce z inflacją: Jest przestrzeń do wzrostu stóp procentowych.
https://t.co/xaRnT…</t>
  </si>
  <si>
    <t>1466129513302085639</t>
  </si>
  <si>
    <t>2021-12-01T19:38:09.000Z</t>
  </si>
  <si>
    <t>RT @nbppl: Startuje nowy Konkurs o Nagrodę Prezesa #NBP „Wpływ szoku pandemicznego na wzrost gospodarczy i inflację”.
Zapraszamy dziennikar…</t>
  </si>
  <si>
    <t>1466123524112855052</t>
  </si>
  <si>
    <t>2021-12-01T19:14:22.000Z</t>
  </si>
  <si>
    <t>RT @nbppl: Zakończył się XIX Konkurs #NBP im. Władysława Grabskiego dla dziennikarzy ekonomicznych. 
Laureatów wybrała kapituła pod przewod…</t>
  </si>
  <si>
    <t>1466061804728111104</t>
  </si>
  <si>
    <t>2021-12-01T15:09:07.000Z</t>
  </si>
  <si>
    <t>RT @nbppl: Prof. Adam Glapiński, Prezes #NBP, dla „Gazety Polskiej”: "Stworzyliśmy warunki, bez których uruchomienie tarcz antyinflacyjnych…</t>
  </si>
  <si>
    <t>1466061748612603907</t>
  </si>
  <si>
    <t>2021-12-01T15:08:53.000Z</t>
  </si>
  <si>
    <t>RT @nbppl: Od jutra dwie nowe monety kolekcjonerskie #NBP „Skarby Stanisława Augusta – Michał Korybut Wiśniowiecki” – złota o nominale 500…</t>
  </si>
  <si>
    <t>1466055146190917643</t>
  </si>
  <si>
    <t>2021-12-01T14:42:39.000Z</t>
  </si>
  <si>
    <t>M.Morawiecki, premier RP, „Super Express”, 1.12.2021: 
„[…] Tu nie ma prostych rozwiązań. A NBP podjął właściwe działania we właściwym czasie”.</t>
  </si>
  <si>
    <t>1466055144676675592</t>
  </si>
  <si>
    <t>M.Morawiecki, premier RP, „Super Express”, 1.12.2021: „ […] działania NBP oceniam bardzo wysoko, ponieważ bierze pod uwagę zarówno ryzyka inflacyjne, jak i ryzyka związane ze wzrostem bezrobocia i potencjalnym osłabieniem wzrostu gospodarczego”.</t>
  </si>
  <si>
    <t>1466027728470163464</t>
  </si>
  <si>
    <t>2021-12-01T12:53:42.000Z</t>
  </si>
  <si>
    <t>O wysokości stóp % nie decyduje Prezes NBP, a 10. osobowa Rada Polityki Pieniężnej. Inne decyzje podejmuje wieloosobowy Zarząd NBP. Wszystkie decyzje są oparte o analizy całego zespołu badawczego NBP. Decyzje RPP i Zarządu nigdy nie były niezgodne z opiniami analityków NBP. (5/5)</t>
  </si>
  <si>
    <t>1466027726842867718</t>
  </si>
  <si>
    <t>Przyjęty w artykule sposób omawiania wypowiedzi Prezesa NBP wynika z potrzeb nagonki politycznej i strachu przed konfrontacją z zespołem analitycznym banku centralnego. Prosimy nie manipulować doborem wypowiedzi i nie insynuować  braku niezależności NBP.(4/5)</t>
  </si>
  <si>
    <t>1466027725097943044</t>
  </si>
  <si>
    <t>2021-12-01T12:53:41.000Z</t>
  </si>
  <si>
    <t>Natomiast zgodnie z Konstytucją i Ustawą Prezes NBP jest jedynym organem NBP upoważnionym i zobowiązanym do publicznego prezentowania oficjalnego stanowiska banku. (3/5)</t>
  </si>
  <si>
    <t>1466027722719825920</t>
  </si>
  <si>
    <t>Sugeruje się uparcie, że Prezes NBP bierze opinie i projekcje z sufitu. Wszystko o czym Prezes NBP publicznie informuje jest oficjalnym stanowiskiem NBP, opartym na analizach/projekcjach NBP i najsilniejszego sztabu analitycznego w Polsce. Jednego z najlepszych na świecie. (2/5)</t>
  </si>
  <si>
    <t>1466027721293713408</t>
  </si>
  <si>
    <t>2021-12-01T12:53:40.000Z</t>
  </si>
  <si>
    <t>A propos dzisiejszego, artykułu red. @czuryloPL: Traktujemy Pana tekst jako celową, złośliwą manipulację służącą nagonce medialnej. Prosimy tylko o dokładne przytaczanie wypowiedzi Prezesa NBP - Pana subiektywny obraz sytuacji ok - wypowiedzi z NBP prosimy nie przeinaczać. (1/5)</t>
  </si>
  <si>
    <t>1466010906257723394</t>
  </si>
  <si>
    <t>2021-12-01T11:46:51.000Z</t>
  </si>
  <si>
    <t>Andrew Bailey, prezes Banku Anglii, Reuters, 25.11.2021: „Banki centralne ryzykują, starając się formułować przekazy co do dalszej ścieżki stóp procentowych w czasach niepewności gospodarczej”.</t>
  </si>
  <si>
    <t>1466009772247990274</t>
  </si>
  <si>
    <t>2021-12-01T11:42:21.000Z</t>
  </si>
  <si>
    <t>Andrew Bailey, prezes Banku Anglii, Bloomberg, 25.11.2021: „Władze monetarne odstąpiły od publikowania informacji na temat przyszłego kształtu polityki pieniężnej (ang. forward guidance) jako sposobu informowania inwestorów o prawdopodobnym poziomie stóp proc. w przyszłości”.</t>
  </si>
  <si>
    <t>1466005724568424451</t>
  </si>
  <si>
    <t>2021-12-01T11:26:16.000Z</t>
  </si>
  <si>
    <t>PAP: Organizacja Współpracy Gospodarczej i Rozwoju (OECD) prognozuje, że wzrost PKB Polski w 2022 r. wyniesie 5,2 proc. wynika z najnowszego raportu.</t>
  </si>
  <si>
    <t>1466001570672390147</t>
  </si>
  <si>
    <t>2021-12-01T11:09:46.000Z</t>
  </si>
  <si>
    <t>Zagadka: którzy z polskich ekonomistów, przez całe dziesięciolecia, domagają się wyłącznie (!) podwyżek stóp procentowych, a nigdy obniżek? I czemu tak robią - czyje interesy reprezentują? NBP reprezentuje interesy wszystkich Polaków. https://t.co/HewbidJRML</t>
  </si>
  <si>
    <t>1465998637897596929</t>
  </si>
  <si>
    <t>2021-12-01T10:58:06.000Z</t>
  </si>
  <si>
    <t>Opisując mechanizm „wyższe stopy generują olbrzymie zyski banków komercyjnych”, wyjaśniliśmy tajemnicę, dlaczego niektórzy „wybitni ekonomiści” zawsze domagają się ich podnoszenia, a nigdy nie wnioskują o obniżenie. Niezależnie od sytuacji. Dbajmy o interesy wszystkich Polaków. https://t.co/lRMQw70EtI</t>
  </si>
  <si>
    <t>1465723590616231943</t>
  </si>
  <si>
    <t>2021-11-30T16:45:10.000Z</t>
  </si>
  <si>
    <t>Nie wszyscy tracą na podwyższaniu stóp procentowych. Dotychczasowe podwyżki stóp procentowych NBP przyniosły bankom nawet około 4 mld zł dodatkowego zysku w skali roku. Każda dalsza podwyżka o 1 pkt proc. to kolejne kilka miliardów.</t>
  </si>
  <si>
    <t>1465720366870020098</t>
  </si>
  <si>
    <t>2021-11-30T16:32:21.000Z</t>
  </si>
  <si>
    <t>W odpowiedzi na fake newsy dotyczące „szarży” zapraszamy do zapoznania się z prawdziwymi wypowiedziami Prezesa #NBP Profesora Adama Glapińskiego dotyczącymi kursu złotego ⬇
https://t.co/85tgpOHnvm</t>
  </si>
  <si>
    <t>1465672891773685763</t>
  </si>
  <si>
    <t>2021-11-30T13:23:42.000Z</t>
  </si>
  <si>
    <t>RT @nbppl: Prof. Adam Glapiński, Prezes NBP, dla „Gazety Polskiej”:
„[…] obecnie widać już wpływ wysokiego popytu (na przykład rosnących pł…</t>
  </si>
  <si>
    <t>1465585498148196354</t>
  </si>
  <si>
    <t>2021-11-30T07:36:26.000Z</t>
  </si>
  <si>
    <t>Prezes NBP: „Doszedł jeszcze jeden element – ogromny projekt rozbudowy armii. Kiedy prezes Kaczyński i minister Błaszczak ogłosili, że NBP będzie współfinansował tę reformę, rozpętało się piekło. Dosłownie dwa dni później pojawiły ataki na mnie, na skalę niespotykaną”.</t>
  </si>
  <si>
    <t>1465585496395034626</t>
  </si>
  <si>
    <t>Prezes NBP: „Pojawiają się próby obalenia polskiego rządu i innych instytucji, także ataki na kierownictwo NBP. Jeżeli narzucą tu rząd posłuszny i uległy, wtedy środki się znajdą. My jednak musimy pilnować interesów Polski, a nie próbować się przypodobać Berlinowi czy Brukseli”.</t>
  </si>
  <si>
    <t>1465585494859911169</t>
  </si>
  <si>
    <t>2021-11-30T07:36:25.000Z</t>
  </si>
  <si>
    <t>Prezes NBP: „Prawie cały zysk NBP będzie przekazywany na wojsko. Są też inne możliwości. To miliardy złotych. Ten plan uruchomił nieprzychylne nam siły zagraniczne, z różnych kierunków, a jednocześnie wzmogły się ataki krajowe”.  https://t.co/28rP93Qng9</t>
  </si>
  <si>
    <t>1465584362586583051</t>
  </si>
  <si>
    <t>2021-11-30T07:31:55.000Z</t>
  </si>
  <si>
    <t>RT @TomaszSakiewicz: Polecam mój wywiad z prezesem @nbppl Adamem Glapińskim ukaże się w najnowszym numerze @GPtygodnik. Dostępny  w sprzeda…</t>
  </si>
  <si>
    <t>1465347774078148619</t>
  </si>
  <si>
    <t>2021-11-29T15:51:48.000Z</t>
  </si>
  <si>
    <t>Na 2083 aktywności (18-26.11), 396 zaklasyfikowane jako działalność kont-botów. W badanych aktywnościach zidentyfikowano 204 profili, które zostały zaliczone jako konta-boty. To kolejny tydzień ataków, a ich skala rośnie. Kto i dlaczego płaci za realizowane tu ataki na #NBP?</t>
  </si>
  <si>
    <t>1465346636113186819</t>
  </si>
  <si>
    <t>2021-11-29T15:47:17.000Z</t>
  </si>
  <si>
    <t>W Niemczech najwyższa inflacja od 97r.(od kiedy mierzona). Stopa proc.EBC to 0%(„kredytowa 0,25, depozytowa -0,5”).Ale w przeciwieństwie do Polski nie ma ataków na Prezesa.Podwyżek stóp w Eurolandzie może nie być,bo przewidywana koniunktura będzie się pogarszać z powodu pandemii.</t>
  </si>
  <si>
    <t>1465103200386793477</t>
  </si>
  <si>
    <t>2021-11-28T23:39:57.000Z</t>
  </si>
  <si>
    <t>Im bliżej kolejnej Rady, tym ataków na Prezesa NBP będzie coraz więcej.Teraz GW, której „rozmówca” wymyślił, że Prezes i Dyrektor Komunikacji prywatnie mają prawa do wizerunku banknotu.Personalnych ataków będzie więcej i co, że to abstrakcja, co że mają odpowiedzi i są publiczne.</t>
  </si>
  <si>
    <t>1464253634024194068</t>
  </si>
  <si>
    <t>2021-11-26T15:24:05.000Z</t>
  </si>
  <si>
    <t>https://t.co/5v5rMRSAPx</t>
  </si>
  <si>
    <t>1464253460661026837</t>
  </si>
  <si>
    <t>2021-11-26T15:23:24.000Z</t>
  </si>
  <si>
    <t>@piotrarak:„NBP ma tylko ograniczony wpływ na inflację wywołaną innymi kanałami niż monetarna.(…)Warto zauważyć że w USA,gdzie inflacja jest na najwyższym poziomie od prawie 30l.J.Powell na razie tylko zapowiedział podwyżki stóp procentowych.EBC także nie podniósł jeszcze stóp”.</t>
  </si>
  <si>
    <t>1463983242739077135</t>
  </si>
  <si>
    <t>2021-11-25T21:29:39.000Z</t>
  </si>
  <si>
    <t>„Zrobimy wszystko co będzie możliwe w arsenale naszych działań, aby zapobiegać bądź leczyć skutki tej podwyższonej inflacji”. (2/2)</t>
  </si>
  <si>
    <t>1463983240956493832</t>
  </si>
  <si>
    <t>2021-11-25T21:29:38.000Z</t>
  </si>
  <si>
    <t>Dziękujemy również Panie Premierze. Premier Mateusz Morawiecki dziś powiedział: „Przy okazji chcę podziękować Narodowemu Bankowi Polskiemu za ich analizy, za ich sprawne działania w tym zakresie. Działamy ręka w rękę aczkolwiek jako niezależne od siebie instytucje”. (1/2)</t>
  </si>
  <si>
    <t>1463934556722057222</t>
  </si>
  <si>
    <t>2021-11-25T18:16:11.000Z</t>
  </si>
  <si>
    <t>https://t.co/yT80XA5OMQ</t>
  </si>
  <si>
    <t>1463930759564206080</t>
  </si>
  <si>
    <t>2021-11-25T18:01:06.000Z</t>
  </si>
  <si>
    <t>„Z zapowiedzią, że stać nas na modernizację polskiej armii, wiązać można wiele zaskakujących wydarzeń. Także bezprecedensowy atak na prezesa NBP”. [2/2]</t>
  </si>
  <si>
    <t>1463930669143408651</t>
  </si>
  <si>
    <t>2021-11-25T18:00:44.000Z</t>
  </si>
  <si>
    <t>Prezes #NBP prof. Adam Glapiński dla „Gazety Bankowej”: „Ataki na Narodowy Bank Polski będą trwały, dopóki Ustawa o obronie Ojczyzny nie trafi do podpisu Prezydenta RP”. [1/2] https://t.co/JqL9dpYGoC</t>
  </si>
  <si>
    <t>1463899097979662338</t>
  </si>
  <si>
    <t>2021-11-25T15:55:17.000Z</t>
  </si>
  <si>
    <t>2/2
"Niektórzy sugerują, że […] jeśli inflacja rośnie, to walimy w nią stopami procentowymi. Czasem może to być przeciwskuteczne".</t>
  </si>
  <si>
    <t>1463898752150913030</t>
  </si>
  <si>
    <t>2021-11-25T15:53:55.000Z</t>
  </si>
  <si>
    <t>1/2
Prof. Ryszard Bugaj, ekonomista, Kurier Poranny 25.11.2021: […] polityka pieniężna to jest i zawsze będzie sztuka, a nie - postępowanie, które może być podporządkowane jakiemuś algorytmowi"</t>
  </si>
  <si>
    <t>1463898434495303695</t>
  </si>
  <si>
    <t>2021-11-25T15:52:39.000Z</t>
  </si>
  <si>
    <t>2/2
"To znaczy, powinna być ogromna podwyżka stóp procentowych. […] Rzecz jasna to by miało inne konsekwencje, zarówno dla ludzi, którzy biorą kredyty, jak i dla wzrostu gospodarczego".</t>
  </si>
  <si>
    <t>1463898251208364034</t>
  </si>
  <si>
    <t>2021-11-25T15:51:55.000Z</t>
  </si>
  <si>
    <t>1/2
Prof. Ryszard Bugaj, ekonomista, Kurier Poranny 25.11.2021: […] Opanowanie tego rodzaju kosztowej inflacji przy pomocy instrumentów polityki pieniężnej jest teoretycznie możliwe. Tylko, że trzeba zastosować drastyczne środki"</t>
  </si>
  <si>
    <t>1463897872974372868</t>
  </si>
  <si>
    <t>2021-11-25T15:50:25.000Z</t>
  </si>
  <si>
    <t>2/2
"Nie podzielam opinii znacznej części moich kolegów, którzy uważają, że z inflacją można postępować przy pomocy polityki instrumentami pieniężnymi i mieć zawsze skutek taki, jaki się założy".</t>
  </si>
  <si>
    <t>1463897454563237889</t>
  </si>
  <si>
    <t>2021-11-25T15:48:45.000Z</t>
  </si>
  <si>
    <t>1/2
Prof. Ryszard Bugaj, ekonomista, Kurier Poranny 25.11.2021: Adam Glapiński nie ma zbyt wielu środków, przy pomocy których może opanować inflację"</t>
  </si>
  <si>
    <t>1463564821065093123</t>
  </si>
  <si>
    <t>2021-11-24T17:46:59.000Z</t>
  </si>
  <si>
    <t>Minister Finansów Tadeusz Kościński, Komisja Finansów Publicznych: Apeluję o umiar i powściągliwość, bo nieodpowiedzialne komentarze podgrzewają niepotrzebnie percepcję inflacji i mogą prowadzić do nieracjonalnych zachowań, co może przełożyć się na jeszcze wyższe ceny.</t>
  </si>
  <si>
    <t>1463557662436638721</t>
  </si>
  <si>
    <t>2021-11-24T17:18:32.000Z</t>
  </si>
  <si>
    <t>RT @nbppl: Wiceprezes #NBP Marta Kightley, posiedzenie sejmowej Komisji Finansów Publicznych, 24.11.2021: Prezes Adam Glapiński zrobi wszys…</t>
  </si>
  <si>
    <t>1463557619491258373</t>
  </si>
  <si>
    <t>2021-11-24T17:18:22.000Z</t>
  </si>
  <si>
    <t>RT @nbppl: Wiceprezes #NBP Marta Kightley, posiedzenie sejmowej Komisji Finansów Publicznych, 24.11.2021: inflacja pozostaje dzisiaj na ogó…</t>
  </si>
  <si>
    <t>1463557537131864075</t>
  </si>
  <si>
    <t>2021-11-24T17:18:03.000Z</t>
  </si>
  <si>
    <t>RT @nbppl: Wiceprezes #NBP Marta Kightley na sejmowej Komisji Finansów Publicznych, 24.11.2021: osłabienie złotego nie odzwierciedla fundam…</t>
  </si>
  <si>
    <t>1463520070106234893</t>
  </si>
  <si>
    <t>2021-11-24T14:49:10.000Z</t>
  </si>
  <si>
    <t>Przewodniczący sejmowej Komisji Finansów Publicznych W.Janczyk: „To, co dzieje się dzisiaj na rynku i z walutami, jeśli chodzi o inflację, nie jest przypadłością tylko naszego kraju. (…)Te kraje, które najszybciej wychodzą z kryzysu pandemii, mają wysokie odczyty inflacji”.</t>
  </si>
  <si>
    <t>1463519988237668358</t>
  </si>
  <si>
    <t>2021-11-24T14:48:50.000Z</t>
  </si>
  <si>
    <t>Przewodniczący sejmowej Komisji Finansów Publicznych W.Janczyk „RPP i NBP w sposób właściwy i profesjonalny wywiązywały się ze swojego zdania (…). Określony średniookresowy cel inflacyjny był realizowany przez całą kadencję prezesury pana Adama Glapińskiego”.</t>
  </si>
  <si>
    <t>1463519785942200321</t>
  </si>
  <si>
    <t>2021-11-24T14:48:02.000Z</t>
  </si>
  <si>
    <t>„Reakcja NBP w odniesieniu do stóp procentowych(…) była to chyba najszybsza reakcja spośród banków narodowych w Europie.(…)Trudno tutaj mówić o jakiejkolwiek opieszałości ze strony (…) instytucji”. A.Kosztowniak, wiceprzewodniczący sejmowej Komisji Finansów Publicznych</t>
  </si>
  <si>
    <t>1463496327879442446</t>
  </si>
  <si>
    <t>2021-11-24T13:14:49.000Z</t>
  </si>
  <si>
    <t>RT @KancelariaSejmu: 🔛#Sejm. Trwa posiedzenie Komisji Finansów Publicznych z udziałem ministra @MF_GOV_PL Tadeusza Kościńskiego i przedstaw…</t>
  </si>
  <si>
    <t>1463493904993509380</t>
  </si>
  <si>
    <t>2021-11-24T13:05:12.000Z</t>
  </si>
  <si>
    <t>3/3
„Tymczasem politycy opozycji nadal hołdują zasadzie: im gorzej, tym lepiej. W interesie nas wszystkich jest, aby gospodarka się stabilizowała, a nie aby podsycać nastroje inflacyjne”.
Prof. Jerzy Żyżyński, RPP, „Gazeta Polska”, 24.11.2021</t>
  </si>
  <si>
    <t>1463493855844655105</t>
  </si>
  <si>
    <t>2021-11-24T13:05:00.000Z</t>
  </si>
  <si>
    <t>2/3
„Opiera się on na najlepszych analitykach i ekspertach. Podważanie tego autorytetu to sabotaż gospodarczy. Nie wolno takich rzeczy robić […]”.
Prof. Jerzy Żyżyński, RPP, „Gazeta Polska”, 24.11.2021</t>
  </si>
  <si>
    <t>1463493817823371270</t>
  </si>
  <si>
    <t>2021-11-24T13:04:51.000Z</t>
  </si>
  <si>
    <t>1/3
„Podważanie autorytetu banku centralnego to szkodzenie państwu. Adam Glapiński jest naprawdę dobrym ekonomistą i jego oceny na Radzie Polityki Pieniężnej zawsze są merytoryczne i rzetelne […]”.
Prof. Jerzy Żyżyński, RPP, „Gazeta Polska”, 24.11.2021</t>
  </si>
  <si>
    <t>1463492419568209921</t>
  </si>
  <si>
    <t>2021-11-24T12:59:17.000Z</t>
  </si>
  <si>
    <t>„Hałas, że inflacja rośnie coraz szybciej, był dezinformacją i podsycał nastroje, a to jak wiadomo dodatkowo negatywnie wpływa na ceny”.
Prof. Jerzy Żyżyński, RPP, „Gazeta Polska”, 24.11.2021</t>
  </si>
  <si>
    <t>1463490650188521477</t>
  </si>
  <si>
    <t>2021-11-24T12:52:16.000Z</t>
  </si>
  <si>
    <t>RT @nbppl: Dziś w Gazeta Polska wywiad z prof. Jerzym Żyżyńskim, członkiem RPP.
„Podważanie autorytetu banku centralnego to sabotaż gospoda…</t>
  </si>
  <si>
    <t>1463489665177112589</t>
  </si>
  <si>
    <t>2021-11-24T12:48:21.000Z</t>
  </si>
  <si>
    <t>@RafalWos @Jinxop @Piechocinski Czyli jest jakaś agenda kogo i jak dziś atakować??? Niemożliwe:-)))</t>
  </si>
  <si>
    <t>1463471039330111494</t>
  </si>
  <si>
    <t>2021-11-24T11:34:20.000Z</t>
  </si>
  <si>
    <t>Redaktor Woś: „(…)No chyba, że chodzi tylko o to, żeby ludzi przestraszyć”: https://t.co/6JcCq9vrIq</t>
  </si>
  <si>
    <t>1463414350476201995</t>
  </si>
  <si>
    <t>2021-11-24T07:49:04.000Z</t>
  </si>
  <si>
    <t>W odpowiedzi na pytania Interii prof. Adam Glapiński, prezes Narodowego Banku Polskiego i przewodniczący Rady Polityki Pieniężnej. Czytaj więcej na https://t.co/3ENJmJs2Fg</t>
  </si>
  <si>
    <t>1463399648161320971</t>
  </si>
  <si>
    <t>2021-11-24T06:50:39.000Z</t>
  </si>
  <si>
    <t>Gazeta Polska: Podważanie autorytetu banku centralnego to sabotaż gospodarczy. Nie wolno takich rzeczy robić. Nigdzie na świecie nikt by sobie na coś takiego nie pozwolił. Tymczasem politycy opozycji nadal hołdują zasadzie: im gorzej, tym lepiej - mówi prof. Jerzy Żyżyński z RPP. https://t.co/Ngt0GcWuIV</t>
  </si>
  <si>
    <t>1462883916914868227</t>
  </si>
  <si>
    <t>2021-11-22T20:41:19.000Z</t>
  </si>
  <si>
    <t>RT @pbujak: #Poland #Germany GDP growth forecasts divergence</t>
  </si>
  <si>
    <t>1462881418476990470</t>
  </si>
  <si>
    <t>2021-11-22T20:31:23.000Z</t>
  </si>
  <si>
    <t>RT @nbppl: Jutro emisja nowej monety #NBP o nominale 10 zł „40. rocznica strajku w Wyższej Oficerskiej Szkole Pożarniczej”.
#NBP #numizmaty…</t>
  </si>
  <si>
    <t>1462148441329573896</t>
  </si>
  <si>
    <t>2021-11-20T19:58:48.000Z</t>
  </si>
  <si>
    <t>Dziękujemy wszystkim za merytoryczne i analityczne, rzeczowe opinie. Zawsze je uważnie czytamy i o nich dyskutujemy w NBP - przykro nam tylko, że jest w tej chwili aż tyle niemerytorycznych i agresywnych.</t>
  </si>
  <si>
    <t>1462146061183692805</t>
  </si>
  <si>
    <t>2021-11-20T19:49:21.000Z</t>
  </si>
  <si>
    <t>@FilipLamanski Wiadomo, dobre i neutralne. Pisaliśmy o najnowszym okresie</t>
  </si>
  <si>
    <t>1462063748735246343</t>
  </si>
  <si>
    <t>2021-11-20T14:22:16.000Z</t>
  </si>
  <si>
    <t>Mowa o artykule W. Gadomskiego w dzisiejszej GW. Nie zgadzamy się z tezami artykułu dotyczącymi kontekstu polskiego i polityki NBP, ale jest to nareszcie rzeczowy tekst, z którym można dyskutować. (2/2)</t>
  </si>
  <si>
    <t>1462063747359559681</t>
  </si>
  <si>
    <t>2021-11-20T14:22:15.000Z</t>
  </si>
  <si>
    <t>Zdarzył się cud. Po raz pierwszy (poza tekstami Wosia) od rozpoczęcia prymitywnej i topornej nagonki ukazał się dobry i merytoryczny tekst o obecnej inflacji. (1/2)</t>
  </si>
  <si>
    <t>1461774606151434249</t>
  </si>
  <si>
    <t>2021-11-19T19:13:19.000Z</t>
  </si>
  <si>
    <t>RT @TomaszSakiewicz: Ataki Tuska i PO na Glapińskiego. Łukaszenka i Putin mogą się cieszyć z takiego prezentu.
https://t.co/ZcmaP7vw8p</t>
  </si>
  <si>
    <t>1461747176275681290</t>
  </si>
  <si>
    <t>2021-11-19T17:24:19.000Z</t>
  </si>
  <si>
    <t>RT @nbppl: Prezes #NBP dla @PAPBiznes :  https://t.co/gCiRPYNKiY</t>
  </si>
  <si>
    <t>1461678865466728453</t>
  </si>
  <si>
    <t>2021-11-19T12:52:52.000Z</t>
  </si>
  <si>
    <t>Christine Lagarde, szefowa Europejskiego Banku Centralnego, stwierdziła, że prawdopodobieństwo podwyżek stóp procentowych przez EBC w 2022 roku jest bardzo małe. Jej zdaniem, nie będzie warunków, by podwyższyć stopy. https://t.co/98I08HrWgZ</t>
  </si>
  <si>
    <t>1461649334341099521</t>
  </si>
  <si>
    <t>2021-11-19T10:55:32.000Z</t>
  </si>
  <si>
    <t>Dane Eurostatu: Inflacja w UE wzrosła w październiku do 4,4% z 3,6% we wrześniu. Inflacja w strefie euro wzrosła do 4,1% z 3,4%. Najwyższy wskaźnik inflacji w październiku zanotowano na Litwie (8,2%). Polska 5. (miesiąc temu 3.).</t>
  </si>
  <si>
    <t>1461647933653368833</t>
  </si>
  <si>
    <t>2021-11-19T10:49:58.000Z</t>
  </si>
  <si>
    <t>RT @nbppl: Narodowy Bank Polski przypomina tegoroczne wypowiedzi prof. Adama Glapińskiego, Prezesa #NBP, w sprawie działań dotyczących stóp…</t>
  </si>
  <si>
    <t>1461457736424636423</t>
  </si>
  <si>
    <t>2021-11-18T22:14:11.000Z</t>
  </si>
  <si>
    <t>RT @nbppl: Wystartowała II edycja programu „Złote Szkoły NBP”. Do wygrania tytuł „Złota Szkoła NBP” i nagrody pieniężne. Więcej na ⬇ https:…</t>
  </si>
  <si>
    <t>1461330329235566593</t>
  </si>
  <si>
    <t>2021-11-18T13:47:55.000Z</t>
  </si>
  <si>
    <t>Wbrew temu co powiedział Jerzy Hausner w TVN24, organy kierownicze NBP kierują się wyłącznie twardymi danymi i analizami departamentów NBP: https://t.co/kNk9YBAbC8</t>
  </si>
  <si>
    <t>1461313115899973633</t>
  </si>
  <si>
    <t>2021-11-18T12:39:31.000Z</t>
  </si>
  <si>
    <t>@michal_kolanko https://t.co/qIh0qk1S5M</t>
  </si>
  <si>
    <t>1461305263173120000</t>
  </si>
  <si>
    <t>2021-11-18T12:08:19.000Z</t>
  </si>
  <si>
    <t>We wszystkich prawie krajach, tak jak w Polsce, inflacja najwyższa od wielu lat. Jaka jest różnica? Nie ma tam ataków personalnych na prezesa i pracowników banku centralnego.</t>
  </si>
  <si>
    <t>https://twitter.com/biuronbp/status/1456182333074284553</t>
  </si>
  <si>
    <t>https://developer.twitter.com/en/docs/twitter-api/tweets/lookup/introduction</t>
  </si>
  <si>
    <t>Dokumentacja</t>
  </si>
  <si>
    <t>Link:</t>
  </si>
  <si>
    <t>Szukając dalej paginacją natrafimy na taką perełkę:</t>
  </si>
  <si>
    <t>Poszukamy interakcji z tym tweetem</t>
  </si>
  <si>
    <t>3478110083</t>
  </si>
  <si>
    <t>Marek Botur</t>
  </si>
  <si>
    <t>maro2941</t>
  </si>
  <si>
    <t>1463556135730888708</t>
  </si>
  <si>
    <t>Kacper Suski</t>
  </si>
  <si>
    <t>kacper_suskiii</t>
  </si>
  <si>
    <t>4625638888</t>
  </si>
  <si>
    <t>ΛᄂΛ</t>
  </si>
  <si>
    <t>AliciaPsiuk</t>
  </si>
  <si>
    <t>3479053275</t>
  </si>
  <si>
    <t>Kusek</t>
  </si>
  <si>
    <t>Kusycki</t>
  </si>
  <si>
    <t>1427370376858832901</t>
  </si>
  <si>
    <t>Werosonka</t>
  </si>
  <si>
    <t>wezdka</t>
  </si>
  <si>
    <t>1079758726071025665</t>
  </si>
  <si>
    <t>Joanna Sińczak</t>
  </si>
  <si>
    <t>JoannaSankowsk1</t>
  </si>
  <si>
    <t>907666870186242048</t>
  </si>
  <si>
    <t>Julia Głowinkowska</t>
  </si>
  <si>
    <t>JuliaGlowin</t>
  </si>
  <si>
    <t>720742710173425664</t>
  </si>
  <si>
    <t>Michał Szymańczyk</t>
  </si>
  <si>
    <t>Szymanczyk_M</t>
  </si>
  <si>
    <t>1456272484634796050</t>
  </si>
  <si>
    <t>Magda Ciżkowicz</t>
  </si>
  <si>
    <t>MCizkowicz</t>
  </si>
  <si>
    <t>1354383481388859395</t>
  </si>
  <si>
    <t>kuba sz</t>
  </si>
  <si>
    <t>kubasz28406773</t>
  </si>
  <si>
    <t>812973873364877312</t>
  </si>
  <si>
    <t>Franek M</t>
  </si>
  <si>
    <t>franekmyck</t>
  </si>
  <si>
    <t>953693730443354112</t>
  </si>
  <si>
    <t>Marysia Skowronek</t>
  </si>
  <si>
    <t>mskowronek002</t>
  </si>
  <si>
    <t>1159912839534059524</t>
  </si>
  <si>
    <t>Ko5uu d-10</t>
  </si>
  <si>
    <t>Ko5uu</t>
  </si>
  <si>
    <t>1415925738419724288</t>
  </si>
  <si>
    <t>Wojciech Tokarski</t>
  </si>
  <si>
    <t>wojtek_tokarski</t>
  </si>
  <si>
    <t>1137724199550824448</t>
  </si>
  <si>
    <t>Marvin</t>
  </si>
  <si>
    <t>ooocholera</t>
  </si>
  <si>
    <t>1410677340275974145</t>
  </si>
  <si>
    <t>MCSlaVistaPL Network</t>
  </si>
  <si>
    <t>MCSlaVistaPL</t>
  </si>
  <si>
    <t>988672339578621952</t>
  </si>
  <si>
    <t>Al Kaczafi</t>
  </si>
  <si>
    <t>konradkulig7</t>
  </si>
  <si>
    <t>823111283180453888</t>
  </si>
  <si>
    <t>Elżbieta #Jest jeden Bóg.</t>
  </si>
  <si>
    <t>27Elzbieta</t>
  </si>
  <si>
    <t>1292222966063935488</t>
  </si>
  <si>
    <t>wszystkozajete</t>
  </si>
  <si>
    <t>wszystkozajet10</t>
  </si>
  <si>
    <t>369386773</t>
  </si>
  <si>
    <t>Łukasz Wizła</t>
  </si>
  <si>
    <t>LukaszWizla</t>
  </si>
  <si>
    <t>864909302372474880</t>
  </si>
  <si>
    <t>Marcin Łoboz</t>
  </si>
  <si>
    <t>Marcin_Loboz</t>
  </si>
  <si>
    <t>3177236476</t>
  </si>
  <si>
    <t>P</t>
  </si>
  <si>
    <t>1ppppppppppppp1</t>
  </si>
  <si>
    <t>3477202283</t>
  </si>
  <si>
    <t>Malwina Gazda</t>
  </si>
  <si>
    <t>Gazudoa</t>
  </si>
  <si>
    <t>3479446342</t>
  </si>
  <si>
    <t>Jakub Boski</t>
  </si>
  <si>
    <t>jestem_boski</t>
  </si>
  <si>
    <t>3479527582</t>
  </si>
  <si>
    <t>Morek</t>
  </si>
  <si>
    <t>m_dvr_11</t>
  </si>
  <si>
    <t>867097008733073410</t>
  </si>
  <si>
    <t>Aneta Skrzypczak</t>
  </si>
  <si>
    <t>AnetaSkrzypcza1</t>
  </si>
  <si>
    <t>3477247216</t>
  </si>
  <si>
    <t>Alicja Cz.</t>
  </si>
  <si>
    <t>cze_rniejewska</t>
  </si>
  <si>
    <t>1219034524778160128</t>
  </si>
  <si>
    <t>JackieBrown #✴️✴️✴️✴️✴️ ✴️✴️✴️</t>
  </si>
  <si>
    <t>ju_1916_</t>
  </si>
  <si>
    <t>1273288881924866049</t>
  </si>
  <si>
    <t>Kajetan</t>
  </si>
  <si>
    <t>Kajetan56723431</t>
  </si>
  <si>
    <t>1439293364126498817</t>
  </si>
  <si>
    <t>Tomasz</t>
  </si>
  <si>
    <t>tomaszkrol1989</t>
  </si>
  <si>
    <t>3464862076</t>
  </si>
  <si>
    <t>Julia Fuks</t>
  </si>
  <si>
    <t>Fuks_21</t>
  </si>
  <si>
    <t>114461748</t>
  </si>
  <si>
    <t>TomaasHara</t>
  </si>
  <si>
    <t>tomekhara</t>
  </si>
  <si>
    <t>884539932374683650</t>
  </si>
  <si>
    <t>marek bandurski</t>
  </si>
  <si>
    <t>BandurskiMarek</t>
  </si>
  <si>
    <t>1400840728775888897</t>
  </si>
  <si>
    <t>Hrabia MonteNegro 🤴🍀😶‍🌫️</t>
  </si>
  <si>
    <t>glubymir</t>
  </si>
  <si>
    <t>3477108255</t>
  </si>
  <si>
    <t>Olek_1</t>
  </si>
  <si>
    <t>Omudav</t>
  </si>
  <si>
    <t>1206293974568361985</t>
  </si>
  <si>
    <t>Martyna</t>
  </si>
  <si>
    <t>ja_martyna_</t>
  </si>
  <si>
    <t>1314953867885502464</t>
  </si>
  <si>
    <t>Aga</t>
  </si>
  <si>
    <t>Aga19316896</t>
  </si>
  <si>
    <t>1324128790877032448</t>
  </si>
  <si>
    <t>Oliwia</t>
  </si>
  <si>
    <t>jastrzebskav</t>
  </si>
  <si>
    <t>868854539063111682</t>
  </si>
  <si>
    <t>Anna</t>
  </si>
  <si>
    <t>Annamanchester8</t>
  </si>
  <si>
    <t>2749639016</t>
  </si>
  <si>
    <t>Jakub Panek</t>
  </si>
  <si>
    <t>panekjakub</t>
  </si>
  <si>
    <t>1286362884843491328</t>
  </si>
  <si>
    <t>Anna Witt</t>
  </si>
  <si>
    <t>AnnaWit66422835</t>
  </si>
  <si>
    <t>1279554395580088320</t>
  </si>
  <si>
    <t>genetycznadominacja</t>
  </si>
  <si>
    <t>Aw1234Przemys</t>
  </si>
  <si>
    <t>3291463552</t>
  </si>
  <si>
    <t>Michał Szafrański 🇵🇱</t>
  </si>
  <si>
    <t>_MSzafranski</t>
  </si>
  <si>
    <t>1385667030829998083</t>
  </si>
  <si>
    <t>Ewa</t>
  </si>
  <si>
    <t>Ewa98050281</t>
  </si>
  <si>
    <t>830517804478693380</t>
  </si>
  <si>
    <t>Maks Mie</t>
  </si>
  <si>
    <t>maks_mie</t>
  </si>
  <si>
    <t>557988463</t>
  </si>
  <si>
    <t>AdrianB</t>
  </si>
  <si>
    <t>AdrianBi_</t>
  </si>
  <si>
    <t>1272937981804978178</t>
  </si>
  <si>
    <t>wiktoria</t>
  </si>
  <si>
    <t>victoriaxc_</t>
  </si>
  <si>
    <t>1266049151244132354</t>
  </si>
  <si>
    <t>Pinochet's helicopter tours</t>
  </si>
  <si>
    <t>Pawel23043180</t>
  </si>
  <si>
    <t>1355964349471469568</t>
  </si>
  <si>
    <t>Jakub Winiarski</t>
  </si>
  <si>
    <t>JakubWiniarski3</t>
  </si>
  <si>
    <t>1222557210783494144</t>
  </si>
  <si>
    <t>Piotr</t>
  </si>
  <si>
    <t>Piotr96104925</t>
  </si>
  <si>
    <t>1299052651703939072</t>
  </si>
  <si>
    <t>SztefëëN</t>
  </si>
  <si>
    <t>RichardRysiek</t>
  </si>
  <si>
    <t>1155721548726263809</t>
  </si>
  <si>
    <t>Piotr Nedzka</t>
  </si>
  <si>
    <t>Piotr80848808</t>
  </si>
  <si>
    <t>731743048275795968</t>
  </si>
  <si>
    <t>Paweł</t>
  </si>
  <si>
    <t>pawciohh</t>
  </si>
  <si>
    <t>1341004504477671424</t>
  </si>
  <si>
    <t>rudie_doll 🇺🇦(any/on/ona)</t>
  </si>
  <si>
    <t>RudieDoll</t>
  </si>
  <si>
    <t>3742147113</t>
  </si>
  <si>
    <t>Portier Dyplomowany II Kategorii</t>
  </si>
  <si>
    <t>whereismyHoracy</t>
  </si>
  <si>
    <t>1376866277927571456</t>
  </si>
  <si>
    <t>𝑳𝑬𝑵𝑨</t>
  </si>
  <si>
    <t>lenaxyza</t>
  </si>
  <si>
    <t>4703620853</t>
  </si>
  <si>
    <t>Jacek Jaworski</t>
  </si>
  <si>
    <t>JacekJaworskiGd</t>
  </si>
  <si>
    <t>3025028979</t>
  </si>
  <si>
    <t>Filip Borszlak</t>
  </si>
  <si>
    <t>FBorszlak</t>
  </si>
  <si>
    <t>868741918452314113</t>
  </si>
  <si>
    <t>marta</t>
  </si>
  <si>
    <t>yourmessx</t>
  </si>
  <si>
    <t>3296963885</t>
  </si>
  <si>
    <t>Karol Grabski</t>
  </si>
  <si>
    <t>grabje11</t>
  </si>
  <si>
    <t>1389998184068440071</t>
  </si>
  <si>
    <t>Zuzik</t>
  </si>
  <si>
    <t>Zuzik89907590</t>
  </si>
  <si>
    <t>1012057225</t>
  </si>
  <si>
    <t>Hubert Taładaj</t>
  </si>
  <si>
    <t>TaladajHubert</t>
  </si>
  <si>
    <t>792529923508494336</t>
  </si>
  <si>
    <t>Andrzej Kowalczyk</t>
  </si>
  <si>
    <t>ak_gd_pl</t>
  </si>
  <si>
    <t>3947347397</t>
  </si>
  <si>
    <t>Paweł Kowal</t>
  </si>
  <si>
    <t>paulito_pl</t>
  </si>
  <si>
    <t>126391183</t>
  </si>
  <si>
    <t>Andrzej</t>
  </si>
  <si>
    <t>andkra1</t>
  </si>
  <si>
    <t>1431272610881490951</t>
  </si>
  <si>
    <t>𝓐𝓵.</t>
  </si>
  <si>
    <t>teskniesobie</t>
  </si>
  <si>
    <t>1159160731432038400</t>
  </si>
  <si>
    <t>❥Panna Anna ❥</t>
  </si>
  <si>
    <t>PannaAnna766</t>
  </si>
  <si>
    <t>984186349547909128</t>
  </si>
  <si>
    <t>Aga RJ</t>
  </si>
  <si>
    <t>AgaRJ2803</t>
  </si>
  <si>
    <t>851890754742083584</t>
  </si>
  <si>
    <t>Amadeusz Ficek</t>
  </si>
  <si>
    <t>FicekAmadeusz</t>
  </si>
  <si>
    <t>711541437163298816</t>
  </si>
  <si>
    <t>Piotr Duma</t>
  </si>
  <si>
    <t>piotrduma5</t>
  </si>
  <si>
    <t>1393481257733009414</t>
  </si>
  <si>
    <t>Klaudia Piwnicka</t>
  </si>
  <si>
    <t>Klaudia66635028</t>
  </si>
  <si>
    <t>1144346713949446146</t>
  </si>
  <si>
    <t>Michał</t>
  </si>
  <si>
    <t>KochamWombaciki</t>
  </si>
  <si>
    <t>1380075070748512257</t>
  </si>
  <si>
    <t>Michaolek</t>
  </si>
  <si>
    <t>Michaolek69</t>
  </si>
  <si>
    <t>747000974</t>
  </si>
  <si>
    <t>Przemek Woś</t>
  </si>
  <si>
    <t>PrzemekWos74</t>
  </si>
  <si>
    <t>760013324100767744</t>
  </si>
  <si>
    <t>Asiuni</t>
  </si>
  <si>
    <t>joannapieniazk1</t>
  </si>
  <si>
    <t>3006712162</t>
  </si>
  <si>
    <t>DankaSkakanka</t>
  </si>
  <si>
    <t>kaikoina</t>
  </si>
  <si>
    <t>1144985427062984704</t>
  </si>
  <si>
    <t>Benz Zizi</t>
  </si>
  <si>
    <t>ZiziBenz</t>
  </si>
  <si>
    <t>1343508332515119105</t>
  </si>
  <si>
    <t>Magda</t>
  </si>
  <si>
    <t>Magda19297990</t>
  </si>
  <si>
    <t>785385386</t>
  </si>
  <si>
    <t>Olgierd Suwalski</t>
  </si>
  <si>
    <t>Szpicbuba</t>
  </si>
  <si>
    <t>1421566820981612548</t>
  </si>
  <si>
    <t>JuicyBoy</t>
  </si>
  <si>
    <t>Shitty_Sketch_</t>
  </si>
  <si>
    <t>1363816321507618817</t>
  </si>
  <si>
    <t>ala</t>
  </si>
  <si>
    <t>wannasuckmyD</t>
  </si>
  <si>
    <t>1315033992513626112</t>
  </si>
  <si>
    <t>SMPP</t>
  </si>
  <si>
    <t>SMPP1</t>
  </si>
  <si>
    <t>2357032651</t>
  </si>
  <si>
    <t>Birds Afterglow ⚡⚡⚡</t>
  </si>
  <si>
    <t>Law_out_legal</t>
  </si>
  <si>
    <t>1260216448804364288</t>
  </si>
  <si>
    <t>pawlacz</t>
  </si>
  <si>
    <t>_Pawel10</t>
  </si>
  <si>
    <t>1312433912229093380</t>
  </si>
  <si>
    <t>zdejmij_folie_ze_łba</t>
  </si>
  <si>
    <t>SzitpostCodzien</t>
  </si>
  <si>
    <t>39310635</t>
  </si>
  <si>
    <t>Tomasz Szopiński🚴‍♂️</t>
  </si>
  <si>
    <t>szopinski</t>
  </si>
  <si>
    <t>1321046413531320327</t>
  </si>
  <si>
    <t>W.</t>
  </si>
  <si>
    <t>Werka73782087</t>
  </si>
  <si>
    <t>1320429802935980033</t>
  </si>
  <si>
    <t>nie wiem w sumie nic</t>
  </si>
  <si>
    <t>higeje</t>
  </si>
  <si>
    <t>1425820802105020425</t>
  </si>
  <si>
    <t>ShemyShem</t>
  </si>
  <si>
    <t>ShemyShem_</t>
  </si>
  <si>
    <t>1106649588</t>
  </si>
  <si>
    <t>Papi Szwarc</t>
  </si>
  <si>
    <t>patryk_szwarc</t>
  </si>
  <si>
    <t>3422059187</t>
  </si>
  <si>
    <t>Romek</t>
  </si>
  <si>
    <t>Romek477</t>
  </si>
  <si>
    <t>1286389915291455488</t>
  </si>
  <si>
    <t>Kundzia</t>
  </si>
  <si>
    <t>Blue_Rose_208</t>
  </si>
  <si>
    <t>author_id</t>
  </si>
  <si>
    <t>text</t>
  </si>
  <si>
    <t>„Kierownik polowania zagrał na trąbce i ogary poszły w las”</t>
  </si>
  <si>
    <t>1456182333074284553</t>
  </si>
  <si>
    <t>conversation_id</t>
  </si>
  <si>
    <t>Przeszukiwanie pojedynczego tweeta</t>
  </si>
  <si>
    <t>https://api.twitter.com/2/tweets?ids=1456182333074284553&amp;tweet.fields=conversation_id</t>
  </si>
  <si>
    <t xml:space="preserve">https://api.twitter.com/2/tweets/search/recent?query=conversation_id:1456182333074284553&amp;tweet.fields=created_at&amp;expansions=author_id&amp;user.fields=created_at
</t>
  </si>
  <si>
    <t>Kto lubił tego tweeta?</t>
  </si>
  <si>
    <t>https://developer.twitter.com/en/docs/twitter-api/tweets/likes/api-reference/get-tweets-id-liking_users</t>
  </si>
  <si>
    <t>Można poszukiwać tweety po konwersacji:</t>
  </si>
  <si>
    <t>Pełne archiwum jest zastrzeżone na potrzeby premium</t>
  </si>
  <si>
    <t>https://api.twitter.com/2/tweets/1456182333074284553/liking_users</t>
  </si>
  <si>
    <t>https://developer.twitter.com/en/docs/twitter-api/tweets/search/quick-start/recent-search</t>
  </si>
  <si>
    <t>https://developer.twitter.com/en/docs/twitter-api/tweets/quote-tweets/introduction</t>
  </si>
  <si>
    <t>https://api.twitter.com/2/tweets/1456182333074284553/quote_tweets</t>
  </si>
  <si>
    <t>Kto o nim pisał:</t>
  </si>
  <si>
    <t>1476269229271887876</t>
  </si>
  <si>
    <t>@wPolityce_pl Aż prosi się o cytat z Glapińskiego ;).
https://t.co/acRnUJVMRU</t>
  </si>
  <si>
    <t>1468521007753351177</t>
  </si>
  <si>
    <t>@DGPrawna Próbka języka zrozumiałego dla zwykłych ludzi:
https://t.co/XE20qUsQiN</t>
  </si>
  <si>
    <t>1458458843256602624</t>
  </si>
  <si>
    <t>Minęło zaledwie 6 dni od wiekopomnego wpisu Pani Wandzi i Pani Marioli z przyzakładowego domu kultury... https://t.co/4ctmPGn6k2</t>
  </si>
  <si>
    <t>1458145177697193990</t>
  </si>
  <si>
    <t>RT @FundacjaFOR: Sposób wypowiedzi Glapińskiego i informowania Polaków na temat działalności banku powoduje, że nawet eksperci gubią się, w…</t>
  </si>
  <si>
    <t>1458029911222915078</t>
  </si>
  <si>
    <t>1458027663487127553</t>
  </si>
  <si>
    <t>1458027520796905478</t>
  </si>
  <si>
    <t>1458027430904582149</t>
  </si>
  <si>
    <t>Sposób wypowiedzi Glapińskiego i informowania Polaków na temat działalności banku powoduje, że nawet eksperci gubią się, w którym kierunku zmierza polityka budżetowa i monetarna - @DudSlaw dla @PressRedakcja ➡️ https://t.co/P6SRnYiVJP https://t.co/L0EheFmM0v</t>
  </si>
  <si>
    <t>Kto Podwał dalej?</t>
  </si>
  <si>
    <t>a</t>
  </si>
  <si>
    <t>https://api.twitter.com/2/tweets/1456182333074284553/retweeted_by</t>
  </si>
  <si>
    <t>https://developer.twitter.com/en/docs/twitter-api/tweets/retweets/introduction</t>
  </si>
  <si>
    <t>1379380570074066947</t>
  </si>
  <si>
    <t>Marcin Marciniak</t>
  </si>
  <si>
    <t>M4rcinM</t>
  </si>
  <si>
    <t>2768855189</t>
  </si>
  <si>
    <t>Marcin Dawień</t>
  </si>
  <si>
    <t>AlenaaMarcos</t>
  </si>
  <si>
    <t>1347590980837498880</t>
  </si>
  <si>
    <t>Mariano</t>
  </si>
  <si>
    <t>Mariusz_z_net</t>
  </si>
  <si>
    <t>2189108939</t>
  </si>
  <si>
    <t>rafalG</t>
  </si>
  <si>
    <t>g_rgrymuza</t>
  </si>
  <si>
    <t>1281606215651532804</t>
  </si>
  <si>
    <t>Gicik</t>
  </si>
  <si>
    <t>IMayckiee</t>
  </si>
  <si>
    <t>1485784806</t>
  </si>
  <si>
    <t>Michał Sydow</t>
  </si>
  <si>
    <t>sydowmichal</t>
  </si>
  <si>
    <t>418244058</t>
  </si>
  <si>
    <t>Unijczyk śląskiego pochodzenia☂️🇲🇨😷🏳️‍🌈✌♥️</t>
  </si>
  <si>
    <t>goorakholio</t>
  </si>
  <si>
    <t>2182820143</t>
  </si>
  <si>
    <t>QszysieK</t>
  </si>
  <si>
    <t>CakePanKN</t>
  </si>
  <si>
    <t>1345805645858091011</t>
  </si>
  <si>
    <t>Fred</t>
  </si>
  <si>
    <t>Fred83426674</t>
  </si>
  <si>
    <t>979072785493516288</t>
  </si>
  <si>
    <t>Michał Pużak</t>
  </si>
  <si>
    <t>micha_puzak</t>
  </si>
  <si>
    <t>1450564159670738960</t>
  </si>
  <si>
    <t>Myślozbrodnia</t>
  </si>
  <si>
    <t>Profil_usuniety</t>
  </si>
  <si>
    <t>223938677</t>
  </si>
  <si>
    <t>:d</t>
  </si>
  <si>
    <t>blackwater555</t>
  </si>
  <si>
    <t>1424108989944578051</t>
  </si>
  <si>
    <t>baudelaire</t>
  </si>
  <si>
    <t>baudelaire_21</t>
  </si>
  <si>
    <t>1269617784692125697</t>
  </si>
  <si>
    <t>Pieriestrojka 🇵🇱</t>
  </si>
  <si>
    <t>pierestrojka</t>
  </si>
  <si>
    <t>702253949018050561</t>
  </si>
  <si>
    <t>Jan Duthel</t>
  </si>
  <si>
    <t>jfduthel</t>
  </si>
  <si>
    <t>1251277645268029440</t>
  </si>
  <si>
    <t>Brzęczyszczykiewicz</t>
  </si>
  <si>
    <t>AcznyJan</t>
  </si>
  <si>
    <t>998193030</t>
  </si>
  <si>
    <t>Grzegorz Redyk 🇵🇱🇺🇦</t>
  </si>
  <si>
    <t>gregredyk</t>
  </si>
  <si>
    <t>1389659187697885189</t>
  </si>
  <si>
    <t>tkaminski💙💛</t>
  </si>
  <si>
    <t>TomaszKaminski_</t>
  </si>
  <si>
    <t>1292750348227096576</t>
  </si>
  <si>
    <t>PieknyTomasz</t>
  </si>
  <si>
    <t>PieknyT</t>
  </si>
  <si>
    <t>499865961</t>
  </si>
  <si>
    <t>Ros Rev</t>
  </si>
  <si>
    <t>rrwawa</t>
  </si>
  <si>
    <t>1317891605144215559</t>
  </si>
  <si>
    <t>PR4L</t>
  </si>
  <si>
    <t>_PR4L</t>
  </si>
  <si>
    <t>904698292000444416</t>
  </si>
  <si>
    <t>m.</t>
  </si>
  <si>
    <t>M_Alejaktotak</t>
  </si>
  <si>
    <t>1230060960</t>
  </si>
  <si>
    <t>maniaqPS</t>
  </si>
  <si>
    <t>2375419411</t>
  </si>
  <si>
    <t>Michał Kreczmański 🇵🇱🇺🇦 #StandWithUkraine</t>
  </si>
  <si>
    <t>mikeKreczmanski</t>
  </si>
  <si>
    <t>519405693</t>
  </si>
  <si>
    <t>Wlowo</t>
  </si>
  <si>
    <t>51wloje</t>
  </si>
  <si>
    <t>1947015956</t>
  </si>
  <si>
    <t>Zły Dentysta</t>
  </si>
  <si>
    <t>ZlyDentysta</t>
  </si>
  <si>
    <t>946530775</t>
  </si>
  <si>
    <t>Prezessimus</t>
  </si>
  <si>
    <t>EUntefuhrer</t>
  </si>
  <si>
    <t>955101056551325696</t>
  </si>
  <si>
    <t>Krzepaaa</t>
  </si>
  <si>
    <t>krzepaaa</t>
  </si>
  <si>
    <t>76998971</t>
  </si>
  <si>
    <t>Elzbieta Z🇵🇱🇪🇺 🇺🇦💙💛 #TeamTorpeda</t>
  </si>
  <si>
    <t>Zborowska</t>
  </si>
  <si>
    <t>938421672297861122</t>
  </si>
  <si>
    <t>Natanieluz</t>
  </si>
  <si>
    <t>49298664</t>
  </si>
  <si>
    <t>Łukasz Szumilak</t>
  </si>
  <si>
    <t>coffeandcigaret</t>
  </si>
  <si>
    <t>1454377813721686023</t>
  </si>
  <si>
    <t>Stanisław Żerko</t>
  </si>
  <si>
    <t>AwZerko</t>
  </si>
  <si>
    <t>914541279199023107</t>
  </si>
  <si>
    <t>Leszek</t>
  </si>
  <si>
    <t>Leszek00672882</t>
  </si>
  <si>
    <t>4874517766</t>
  </si>
  <si>
    <t>hustle and bustle</t>
  </si>
  <si>
    <t>krycha345</t>
  </si>
  <si>
    <t>42728747</t>
  </si>
  <si>
    <t>Mateusz 𝘔𝘢𝘵𝘦𝘰 Rędzioch 🇵🇱 🇪🇺 ❤️ 🇺🇦</t>
  </si>
  <si>
    <t>MateoPoznan</t>
  </si>
  <si>
    <t>1118673604294709249</t>
  </si>
  <si>
    <t>Igor Miśta</t>
  </si>
  <si>
    <t>IgorMista_</t>
  </si>
  <si>
    <t>1144189043212730368</t>
  </si>
  <si>
    <t>pauljacobski</t>
  </si>
  <si>
    <t>PaulJacobski2</t>
  </si>
  <si>
    <t>3304445147</t>
  </si>
  <si>
    <t>Bartosz Chyż</t>
  </si>
  <si>
    <t>bartoshchyz</t>
  </si>
  <si>
    <t>2380261272</t>
  </si>
  <si>
    <t>Suchar Codzienny</t>
  </si>
  <si>
    <t>SucharCodzienny</t>
  </si>
  <si>
    <t>1520165204</t>
  </si>
  <si>
    <t>Tomasz Baranowski Ⓥ⚛️🇪🇺🌍⚽ⓁMU🇵🇱🇦🇷🐶🐱</t>
  </si>
  <si>
    <t>Tomasz_Max_B</t>
  </si>
  <si>
    <t>1380886039397609475</t>
  </si>
  <si>
    <t>carla shitt</t>
  </si>
  <si>
    <t>kolezanka_</t>
  </si>
  <si>
    <t>1427606899038605329</t>
  </si>
  <si>
    <t>Bardzo sympatyczna Kasia</t>
  </si>
  <si>
    <t>Katarzy26745955</t>
  </si>
  <si>
    <t>2830816462</t>
  </si>
  <si>
    <t>Oriel Lambiosa</t>
  </si>
  <si>
    <t>OrielLambiosa</t>
  </si>
  <si>
    <t>626734741</t>
  </si>
  <si>
    <t>🇺🇦 m/g 💛💙</t>
  </si>
  <si>
    <t>mg_reposting</t>
  </si>
  <si>
    <t>3426342010</t>
  </si>
  <si>
    <t>Kpt Owl</t>
  </si>
  <si>
    <t>kptowl</t>
  </si>
  <si>
    <t>2582104742</t>
  </si>
  <si>
    <t>Kuba Łoginow</t>
  </si>
  <si>
    <t>KubaLoginow</t>
  </si>
  <si>
    <t>1037068428631306241</t>
  </si>
  <si>
    <t>Robert Smucz 🇺🇦#FBPE 🌳🌍🍀</t>
  </si>
  <si>
    <t>Robert_Smucz</t>
  </si>
  <si>
    <t>157031831</t>
  </si>
  <si>
    <t>Biskup Biurko mi-24 #SzczęśćBoże!</t>
  </si>
  <si>
    <t>BiskupBiurko</t>
  </si>
  <si>
    <t>88642637</t>
  </si>
  <si>
    <t>Michał Kuziemski</t>
  </si>
  <si>
    <t>michalkuzi</t>
  </si>
  <si>
    <t>1455814455015641088</t>
  </si>
  <si>
    <t>Inflacja Daily</t>
  </si>
  <si>
    <t>inflacjadaily</t>
  </si>
  <si>
    <t>1123164894034108418</t>
  </si>
  <si>
    <t>Mikołaj</t>
  </si>
  <si>
    <t>Mikoaj62365846</t>
  </si>
  <si>
    <t>985049606483578880</t>
  </si>
  <si>
    <t>Szczepan Czarnik</t>
  </si>
  <si>
    <t>szczczarnik</t>
  </si>
  <si>
    <t>791196650186412032</t>
  </si>
  <si>
    <t>sadfdsfsd</t>
  </si>
  <si>
    <t>sadfdsfsd_</t>
  </si>
  <si>
    <t>1407316450340184064</t>
  </si>
  <si>
    <t>Dominik Moskalik</t>
  </si>
  <si>
    <t>DominikMoskalik</t>
  </si>
  <si>
    <t>3311918289</t>
  </si>
  <si>
    <t>Anna O 🇺🇦🇵🇱</t>
  </si>
  <si>
    <t>anodro_anna</t>
  </si>
  <si>
    <t>1379874119320211459</t>
  </si>
  <si>
    <t>Mikołaj Dowejko #StandwithUkraine</t>
  </si>
  <si>
    <t>AjDowejko</t>
  </si>
  <si>
    <t>2268876488</t>
  </si>
  <si>
    <t>Tomasz Budziński</t>
  </si>
  <si>
    <t>budzinskitomasz</t>
  </si>
  <si>
    <t>1276258479372734466</t>
  </si>
  <si>
    <t>Agata</t>
  </si>
  <si>
    <t>hymel_jadwiga1</t>
  </si>
  <si>
    <t>4527894322</t>
  </si>
  <si>
    <t>Waldemar Falkowski#SilniRazem</t>
  </si>
  <si>
    <t>Falkow2Waldemar</t>
  </si>
  <si>
    <t>1316835802828206080</t>
  </si>
  <si>
    <t>bulka paryska</t>
  </si>
  <si>
    <t>BParyska</t>
  </si>
  <si>
    <t>1413777511612391424</t>
  </si>
  <si>
    <t>Danuta</t>
  </si>
  <si>
    <t>Danuta52523896</t>
  </si>
  <si>
    <t>893534394375450625</t>
  </si>
  <si>
    <t>Defacto Mateusz</t>
  </si>
  <si>
    <t>defacto37</t>
  </si>
  <si>
    <t>4516047627</t>
  </si>
  <si>
    <t>Ziomtex</t>
  </si>
  <si>
    <t>ziomtex</t>
  </si>
  <si>
    <t>3055952595</t>
  </si>
  <si>
    <t>Arek Bodus</t>
  </si>
  <si>
    <t>ArekBodus</t>
  </si>
  <si>
    <t>4423980503</t>
  </si>
  <si>
    <t>Maciej Grajzer #RazemzUkrainą</t>
  </si>
  <si>
    <t>MaciejGrajzerPL</t>
  </si>
  <si>
    <t>1332305619517370368</t>
  </si>
  <si>
    <t>Mr Marboro</t>
  </si>
  <si>
    <t>Marcin85685555</t>
  </si>
  <si>
    <t>1353988906966986752</t>
  </si>
  <si>
    <t>kssupreme</t>
  </si>
  <si>
    <t>kssuprement</t>
  </si>
  <si>
    <t>2914717229</t>
  </si>
  <si>
    <t>Karol #pisowskiNepotyzmMatter 🇵🇱 🇪🇺</t>
  </si>
  <si>
    <t>KaPe20207</t>
  </si>
  <si>
    <t>1254469364310556675</t>
  </si>
  <si>
    <t>AnnaLiza 🏳️‍🌈⚡️✌ 🇺🇦</t>
  </si>
  <si>
    <t>Ana97065882</t>
  </si>
  <si>
    <t>943218757719207938</t>
  </si>
  <si>
    <t>kand</t>
  </si>
  <si>
    <t>HiKris_</t>
  </si>
  <si>
    <t>871383942276034566</t>
  </si>
  <si>
    <t>Chiara G.#PutinWarCriminal🇩🇪🇪🇺🏯⛩🌁♏️💙🇺🇦</t>
  </si>
  <si>
    <t>KaiserinChiara</t>
  </si>
  <si>
    <t>1311966045754798081</t>
  </si>
  <si>
    <t>Marek</t>
  </si>
  <si>
    <t>Marek84853593</t>
  </si>
  <si>
    <t>1286312579275591681</t>
  </si>
  <si>
    <t>Michael</t>
  </si>
  <si>
    <t>MichaelPeanut1</t>
  </si>
  <si>
    <t>1298228373701963776</t>
  </si>
  <si>
    <t>Wolne Centrum  #StandWithUkraine 💙💛</t>
  </si>
  <si>
    <t>WolneCentrum</t>
  </si>
  <si>
    <t>765500979634638848</t>
  </si>
  <si>
    <t>4rsenalist</t>
  </si>
  <si>
    <t>1408720327853711361</t>
  </si>
  <si>
    <t>Mega Zord</t>
  </si>
  <si>
    <t>MegaZoord_</t>
  </si>
  <si>
    <t>1274492835614597120</t>
  </si>
  <si>
    <t>Jakub Kancner</t>
  </si>
  <si>
    <t>KancnerJakub</t>
  </si>
  <si>
    <t>1056403261</t>
  </si>
  <si>
    <t>Winny🌻</t>
  </si>
  <si>
    <t>JakubWinny</t>
  </si>
  <si>
    <t>167572262</t>
  </si>
  <si>
    <t>anthoony</t>
  </si>
  <si>
    <t>anthO_onny</t>
  </si>
  <si>
    <t>1411641104106196994</t>
  </si>
  <si>
    <t>Kruk</t>
  </si>
  <si>
    <t>kruk_zwyczajny</t>
  </si>
  <si>
    <t>1309159651108425728</t>
  </si>
  <si>
    <t>Dekon992</t>
  </si>
  <si>
    <t>1126122778837639168</t>
  </si>
  <si>
    <t>kilian</t>
  </si>
  <si>
    <t>kilian87844991</t>
  </si>
  <si>
    <t>1385285283562893315</t>
  </si>
  <si>
    <t>Ania</t>
  </si>
  <si>
    <t>Ania57623950</t>
  </si>
  <si>
    <t>120746938</t>
  </si>
  <si>
    <t>Runaurufu</t>
  </si>
  <si>
    <t>runaurufu</t>
  </si>
  <si>
    <t>47928699</t>
  </si>
  <si>
    <t>irasiad</t>
  </si>
  <si>
    <t>lrasiad</t>
  </si>
  <si>
    <t>2156674028</t>
  </si>
  <si>
    <t>ElBala</t>
  </si>
  <si>
    <t>kolarzysta13</t>
  </si>
  <si>
    <t>413423811</t>
  </si>
  <si>
    <t>Göran Gransson #Путин, иди нахуй!</t>
  </si>
  <si>
    <t>GoranGransson</t>
  </si>
  <si>
    <t>1111234024985579520</t>
  </si>
  <si>
    <t>Karol Rybaczuk</t>
  </si>
  <si>
    <t>k_rybaczuk</t>
  </si>
  <si>
    <t>2627799429</t>
  </si>
  <si>
    <t>Maciej Raczyński</t>
  </si>
  <si>
    <t>RaczynskiMaciej</t>
  </si>
  <si>
    <t>1257237318060122112</t>
  </si>
  <si>
    <t>Kacper</t>
  </si>
  <si>
    <t>Kacper200001</t>
  </si>
  <si>
    <t>Klucz</t>
  </si>
  <si>
    <t>Bearer:</t>
  </si>
  <si>
    <t>Dzisiejsze zajęcia poświęcone będą wydobywaniu informacji z Twitter</t>
  </si>
  <si>
    <t>https://developer.twitter.com/</t>
  </si>
  <si>
    <t>Zaczniemy od rejestracji na portalu:</t>
  </si>
  <si>
    <t xml:space="preserve">Pod tymi linkami znajdą się przydatne narzędzia: </t>
  </si>
  <si>
    <t>Tych informacji wykorzystamy do najprostszego zweryfikowania naszej tożsamości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</si>
</sst>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u/>
      <sz val="11"/>
      <color theme="10"/>
      <name val="Calibri"/>
      <family val="2"/>
      <scheme val="minor"/>
    </font>
    <font>
      <sz val="11"/>
      <color rgb="FF536471"/>
      <name val="Segoe UI"/>
      <family val="2"/>
    </font>
    <font>
      <sz val="12"/>
      <color rgb="FF434548"/>
      <name val="Segoe UI"/>
      <family val="2"/>
    </font>
    <font>
      <sz val="12"/>
      <color rgb="FFE0245E"/>
      <name val="Courier New"/>
      <family val="3"/>
    </font>
    <font>
      <sz val="11"/>
      <color rgb="FFABE338"/>
      <name val="Consolas"/>
      <family val="3"/>
    </font>
    <font>
      <b/>
      <sz val="11"/>
      <color rgb="FFFF0000"/>
      <name val="Calibri"/>
      <family val="2"/>
      <scheme val="minor"/>
    </font>
    <font>
      <u/>
      <sz val="10"/>
      <color theme="10"/>
      <name val="Calibri"/>
      <family val="2"/>
      <scheme val="minor"/>
    </font>
  </fonts>
  <fills count="5">
    <fill>
      <patternFill patternType="none"/>
    </fill>
    <fill>
      <patternFill patternType="gray125"/>
    </fill>
    <fill>
      <patternFill patternType="solid">
        <fgColor theme="9" tint="0.79998168889431442"/>
        <bgColor theme="9" tint="0.79998168889431442"/>
      </patternFill>
    </fill>
    <fill>
      <patternFill patternType="solid">
        <fgColor theme="2"/>
        <bgColor indexed="64"/>
      </patternFill>
    </fill>
    <fill>
      <patternFill patternType="solid">
        <fgColor rgb="FFFFFF00"/>
        <bgColor indexed="64"/>
      </patternFill>
    </fill>
  </fills>
  <borders count="3">
    <border>
      <left/>
      <right/>
      <top/>
      <bottom/>
      <diagonal/>
    </border>
    <border>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0">
    <xf numFmtId="0" fontId="0" fillId="0" borderId="0" xfId="0"/>
    <xf numFmtId="0" fontId="2" fillId="0" borderId="0" xfId="1"/>
    <xf numFmtId="0" fontId="0" fillId="2" borderId="1" xfId="0" applyFont="1" applyFill="1" applyBorder="1"/>
    <xf numFmtId="0" fontId="1" fillId="0" borderId="0" xfId="0" applyFont="1"/>
    <xf numFmtId="0" fontId="3" fillId="0" borderId="0" xfId="0" applyFont="1"/>
    <xf numFmtId="0" fontId="3" fillId="0" borderId="0" xfId="0" applyFont="1" applyAlignment="1">
      <alignment vertical="center"/>
    </xf>
    <xf numFmtId="0" fontId="5" fillId="0" borderId="2" xfId="0" applyFont="1" applyBorder="1"/>
    <xf numFmtId="0" fontId="4" fillId="0" borderId="2" xfId="0" applyFont="1" applyBorder="1" applyAlignment="1">
      <alignment horizontal="center"/>
    </xf>
    <xf numFmtId="0" fontId="0" fillId="0" borderId="2" xfId="0" applyBorder="1"/>
    <xf numFmtId="0" fontId="0" fillId="0" borderId="2" xfId="0" applyBorder="1" applyAlignment="1">
      <alignment horizontal="center"/>
    </xf>
    <xf numFmtId="0" fontId="1" fillId="4" borderId="2" xfId="0" applyFont="1" applyFill="1" applyBorder="1" applyAlignment="1">
      <alignment horizontal="center"/>
    </xf>
    <xf numFmtId="0" fontId="6" fillId="0" borderId="0" xfId="0" applyFont="1" applyAlignment="1">
      <alignment horizontal="left" vertical="center" indent="1"/>
    </xf>
    <xf numFmtId="0" fontId="7" fillId="0" borderId="0" xfId="0" applyFont="1"/>
    <xf numFmtId="0" fontId="0" fillId="0" borderId="0" xfId="0" applyFont="1"/>
    <xf numFmtId="0" fontId="0" fillId="0" borderId="0" xfId="0" applyAlignment="1">
      <alignment horizontal="left" wrapText="1"/>
    </xf>
    <xf numFmtId="0" fontId="1" fillId="3" borderId="2" xfId="0" applyFont="1" applyFill="1" applyBorder="1" applyAlignment="1">
      <alignment horizontal="center"/>
    </xf>
    <xf numFmtId="0" fontId="1" fillId="3" borderId="2" xfId="0" applyFont="1" applyFill="1" applyBorder="1" applyAlignment="1">
      <alignment horizontal="left"/>
    </xf>
    <xf numFmtId="0" fontId="8" fillId="0" borderId="0" xfId="1" applyFont="1" applyAlignment="1">
      <alignment horizontal="left" vertical="top" wrapText="1"/>
    </xf>
    <xf numFmtId="0" fontId="2" fillId="0" borderId="0" xfId="1" applyAlignment="1">
      <alignment horizontal="left" vertical="top" wrapText="1"/>
    </xf>
    <xf numFmtId="0" fontId="2" fillId="0" borderId="0" xfId="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403DCBD-B6B8-4738-8C7F-3D467FD33A6F}" autoFormatId="16" applyNumberFormats="0" applyBorderFormats="0" applyFontFormats="0" applyPatternFormats="0" applyAlignmentFormats="0" applyWidthHeightFormats="0">
  <queryTableRefresh nextId="3">
    <queryTableFields count="2">
      <queryTableField id="1" name="Name" tableColumnId="1"/>
      <queryTableField id="2" name="Valu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276D522E-1208-4368-8826-09A37E9E7AF4}" autoFormatId="16" applyNumberFormats="0" applyBorderFormats="0" applyFontFormats="0" applyPatternFormats="0" applyAlignmentFormats="0" applyWidthHeightFormats="0">
  <queryTableRefresh nextId="4">
    <queryTableFields count="3">
      <queryTableField id="1" name="Column1.id" tableColumnId="1"/>
      <queryTableField id="2" name="Column1.name" tableColumnId="2"/>
      <queryTableField id="3" name="Column1.usernam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0" xr16:uid="{C12D6695-CBA5-42A6-81C0-5C042665F48F}" autoFormatId="16" applyNumberFormats="0" applyBorderFormats="0" applyFontFormats="0" applyPatternFormats="0" applyAlignmentFormats="0" applyWidthHeightFormats="0">
  <queryTableRefresh nextId="3">
    <queryTableFields count="2">
      <queryTableField id="1" name="Column1.id" tableColumnId="1"/>
      <queryTableField id="2" name="Column1.tex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1" xr16:uid="{53E3E231-97A4-4B1D-9E22-B7238A7A56E4}" autoFormatId="16" applyNumberFormats="0" applyBorderFormats="0" applyFontFormats="0" applyPatternFormats="0" applyAlignmentFormats="0" applyWidthHeightFormats="0">
  <queryTableRefresh nextId="9">
    <queryTableFields count="8">
      <queryTableField id="1" name="Column1.created_at" tableColumnId="1"/>
      <queryTableField id="2" name="Column1.source" tableColumnId="2"/>
      <queryTableField id="3" name="Column1.id" tableColumnId="3"/>
      <queryTableField id="4" name="Column1.text" tableColumnId="4"/>
      <queryTableField id="5" name="Column1.public_metrics.retweet_count" tableColumnId="5"/>
      <queryTableField id="6" name="Column1.public_metrics.reply_count" tableColumnId="6"/>
      <queryTableField id="7" name="Column1.public_metrics.like_count" tableColumnId="7"/>
      <queryTableField id="8" name="Column1.public_metrics.quote_count"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3" xr16:uid="{59C6DD8C-8019-4285-8060-CB5C7CC41956}" autoFormatId="16" applyNumberFormats="0" applyBorderFormats="0" applyFontFormats="0" applyPatternFormats="0" applyAlignmentFormats="0" applyWidthHeightFormats="0">
  <queryTableRefresh nextId="9">
    <queryTableFields count="8">
      <queryTableField id="1" name="Column1.id" tableColumnId="1"/>
      <queryTableField id="2" name="Column1.created_at" tableColumnId="2"/>
      <queryTableField id="3" name="Column1.source" tableColumnId="3"/>
      <queryTableField id="4" name="Column1.text" tableColumnId="4"/>
      <queryTableField id="5" name="Column1.public_metrics.retweet_count" tableColumnId="5"/>
      <queryTableField id="6" name="Column1.public_metrics.reply_count" tableColumnId="6"/>
      <queryTableField id="7" name="Column1.public_metrics.like_count" tableColumnId="7"/>
      <queryTableField id="8" name="Column1.public_metrics.quote_count"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6" xr16:uid="{B8237437-14CC-452D-B0F1-A4781F633E5A}" autoFormatId="16" applyNumberFormats="0" applyBorderFormats="0" applyFontFormats="0" applyPatternFormats="0" applyAlignmentFormats="0" applyWidthHeightFormats="0">
  <queryTableRefresh nextId="3">
    <queryTableFields count="2">
      <queryTableField id="1" name="Name" tableColumnId="1"/>
      <queryTableField id="2" name="Value"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5" connectionId="7" xr16:uid="{2C7907D1-585F-49FF-B579-63C2DF57E6B2}" autoFormatId="16" applyNumberFormats="0" applyBorderFormats="0" applyFontFormats="0" applyPatternFormats="0" applyAlignmentFormats="0" applyWidthHeightFormats="0">
  <queryTableRefresh nextId="9">
    <queryTableFields count="8">
      <queryTableField id="1" name="Column1.id" tableColumnId="1"/>
      <queryTableField id="2" name="Column1.created_at" tableColumnId="2"/>
      <queryTableField id="3" name="Column1.source" tableColumnId="3"/>
      <queryTableField id="4" name="Column1.text" tableColumnId="4"/>
      <queryTableField id="5" name="Column1.public_metrics.retweet_count" tableColumnId="5"/>
      <queryTableField id="6" name="Column1.public_metrics.reply_count" tableColumnId="6"/>
      <queryTableField id="7" name="Column1.public_metrics.like_count" tableColumnId="7"/>
      <queryTableField id="8" name="Column1.public_metrics.quote_count" tableColumn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5" xr16:uid="{334D5A2D-C3F5-444D-82A1-215064197BB0}" autoFormatId="16" applyNumberFormats="0" applyBorderFormats="0" applyFontFormats="0" applyPatternFormats="0" applyAlignmentFormats="0" applyWidthHeightFormats="0">
  <queryTableRefresh nextId="4">
    <queryTableFields count="3">
      <queryTableField id="1" name="Column1.id" tableColumnId="1"/>
      <queryTableField id="2" name="Column1.name" tableColumnId="2"/>
      <queryTableField id="3" name="Column1.username" tableColumnId="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4" xr16:uid="{F514EFA1-96E8-4B60-BF57-B215F56B2BB9}" autoFormatId="16" applyNumberFormats="0" applyBorderFormats="0" applyFontFormats="0" applyPatternFormats="0" applyAlignmentFormats="0" applyWidthHeightFormats="0">
  <queryTableRefresh nextId="3">
    <queryTableFields count="2">
      <queryTableField id="1" name="Name" tableColumnId="1"/>
      <queryTableField id="2" name="Value" tableColumnId="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3" connectionId="8" xr16:uid="{5C0DE31A-EAA3-4E10-B564-34379DEF249F}" autoFormatId="16" applyNumberFormats="0" applyBorderFormats="0" applyFontFormats="0" applyPatternFormats="0" applyAlignmentFormats="0" applyWidthHeightFormats="0">
  <queryTableRefresh nextId="3">
    <queryTableFields count="2">
      <queryTableField id="1" name="Column1.id" tableColumnId="1"/>
      <queryTableField id="2" name="Column1.text"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4" connectionId="9" xr16:uid="{98ADE72A-870D-4066-A1AA-08C2B0C21FEC}" autoFormatId="16" applyNumberFormats="0" applyBorderFormats="0" applyFontFormats="0" applyPatternFormats="0" applyAlignmentFormats="0" applyWidthHeightFormats="0">
  <queryTableRefresh nextId="4">
    <queryTableFields count="3">
      <queryTableField id="1" name="Column1.id" tableColumnId="1"/>
      <queryTableField id="2" name="Column1.name" tableColumnId="2"/>
      <queryTableField id="3" name="Column1.username"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886FA7-DA6B-4150-85E8-4539F6937BF0}" name="by_usernames_BiuroNbp" displayName="by_usernames_BiuroNbp" ref="B23:C26" tableType="queryTable" totalsRowShown="0">
  <autoFilter ref="B23:C26" xr:uid="{43867BBA-811A-4562-B223-E42621F739D4}"/>
  <tableColumns count="2">
    <tableColumn id="1" xr3:uid="{5DB99491-47C8-4A25-8A6A-60B1AAC7EA90}" uniqueName="1" name="Name" queryTableFieldId="1"/>
    <tableColumn id="2" xr3:uid="{BF7AD53D-FA68-46DA-BB2A-A0281E3822A8}" uniqueName="2" name="Value"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0F066D-C09B-44B4-9574-BCF7BD151105}" name="by_usernames_PiotrZychowicz_lkwarzecha_BartosiakJacek" displayName="by_usernames_PiotrZychowicz_lkwarzecha_BartosiakJacek" ref="E23:G26" tableType="queryTable" totalsRowShown="0">
  <autoFilter ref="E23:G26" xr:uid="{A8B8C4D0-C168-45BA-8C51-B01CB31CEF88}"/>
  <tableColumns count="3">
    <tableColumn id="1" xr3:uid="{68568D58-2C49-472F-927B-ED894E8B69ED}" uniqueName="1" name="Column1.id" queryTableFieldId="1"/>
    <tableColumn id="2" xr3:uid="{9FBB3ABD-B433-4427-ADB5-2A0D612585FC}" uniqueName="2" name="Column1.name" queryTableFieldId="2"/>
    <tableColumn id="3" xr3:uid="{E9727783-74E4-42DF-BC55-3B76E6DC9430}" uniqueName="3" name="Column1.username"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F2F42E-4D06-4191-B815-A1BCE7A041A8}" name="tweets" displayName="tweets" ref="C26:D36" tableType="queryTable" totalsRowShown="0">
  <autoFilter ref="C26:D36" xr:uid="{3949E114-69D4-4343-B7FD-3D28BAC08768}"/>
  <tableColumns count="2">
    <tableColumn id="1" xr3:uid="{BF136A0A-CD1D-42A5-8D72-54F52F7C6ADA}" uniqueName="1" name="Column1.id" queryTableFieldId="1"/>
    <tableColumn id="2" xr3:uid="{FBDD96CC-5B9A-42F9-B9FD-E1B3C2F98F84}" uniqueName="2" name="Column1.text"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BD39421-8B07-4A36-875D-A949F001FD13}" name="tweets_tweet" displayName="tweets_tweet" ref="F26:M126" tableType="queryTable" totalsRowShown="0">
  <autoFilter ref="F26:M126" xr:uid="{7B1DEACA-0044-41FA-BD7C-11098A76B78E}"/>
  <sortState ref="F27:M126">
    <sortCondition descending="1" ref="K26:K126"/>
  </sortState>
  <tableColumns count="8">
    <tableColumn id="1" xr3:uid="{570BAF10-683E-4128-A066-9C6D7D17ED2B}" uniqueName="1" name="Column1.created_at" queryTableFieldId="1"/>
    <tableColumn id="2" xr3:uid="{148199A4-84F1-4F2B-9D2B-63063FF7E777}" uniqueName="2" name="Column1.source" queryTableFieldId="2"/>
    <tableColumn id="3" xr3:uid="{C850540E-6ED8-4C14-9BE0-3842CBE3971A}" uniqueName="3" name="Column1.id" queryTableFieldId="3"/>
    <tableColumn id="4" xr3:uid="{A49F9531-E3FF-42EE-981D-B398AC581BF9}" uniqueName="4" name="Column1.text" queryTableFieldId="4"/>
    <tableColumn id="5" xr3:uid="{3F8FBA31-55FD-461A-84D6-5008870C23D6}" uniqueName="5" name="Column1.public_metrics.retweet_count" queryTableFieldId="5"/>
    <tableColumn id="6" xr3:uid="{E0044166-2ADD-4EC4-94C8-B95846033DAC}" uniqueName="6" name="Column1.public_metrics.reply_count" queryTableFieldId="6"/>
    <tableColumn id="7" xr3:uid="{1EFA614A-305A-4683-BBA3-08CBBCF86B2E}" uniqueName="7" name="Column1.public_metrics.like_count" queryTableFieldId="7"/>
    <tableColumn id="8" xr3:uid="{38137BED-CF69-4E6D-A795-B8806A8DB53F}" uniqueName="8" name="Column1.public_metrics.quote_count" queryTableField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E7A5836-FC71-4C49-AE35-4EF410830FBD}" name="DatedQuery" displayName="DatedQuery" ref="O26:V126" tableType="queryTable" totalsRowShown="0">
  <autoFilter ref="O26:V126" xr:uid="{1A53954D-3A53-4281-8C07-859CD92F1057}"/>
  <tableColumns count="8">
    <tableColumn id="1" xr3:uid="{6ABDCFD6-0DEE-4376-A3CB-451188F6D14C}" uniqueName="1" name="Column1.id" queryTableFieldId="1"/>
    <tableColumn id="2" xr3:uid="{CD7613CC-D3F7-4B9A-9C43-9499686362D7}" uniqueName="2" name="Column1.created_at" queryTableFieldId="2"/>
    <tableColumn id="3" xr3:uid="{BD64766B-61B4-47BD-818C-EA9CECE9F8D7}" uniqueName="3" name="Column1.source" queryTableFieldId="3"/>
    <tableColumn id="4" xr3:uid="{4ED777DE-33F6-4DCC-83F8-F5F1B180DF48}" uniqueName="4" name="Column1.text" queryTableFieldId="4"/>
    <tableColumn id="5" xr3:uid="{10638D95-D2BD-47AC-ACC8-4AF1277B27FB}" uniqueName="5" name="Column1.public_metrics.retweet_count" queryTableFieldId="5"/>
    <tableColumn id="6" xr3:uid="{E64F467E-156B-4449-9FE9-92F59D7DC90B}" uniqueName="6" name="Column1.public_metrics.reply_count" queryTableFieldId="6"/>
    <tableColumn id="7" xr3:uid="{D37B6C9D-1501-4A89-8C9D-2818A7AC56B0}" uniqueName="7" name="Column1.public_metrics.like_count" queryTableFieldId="7"/>
    <tableColumn id="8" xr3:uid="{F1B8C306-91B8-4BCB-A647-0E6093192C37}" uniqueName="8" name="Column1.public_metrics.quote_count" queryTableFieldId="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AAAE1ED-489D-48EC-B180-81D941E2F619}" name="NextToken" displayName="NextToken" ref="X14:Y18" tableType="queryTable" totalsRowShown="0">
  <autoFilter ref="X14:Y18" xr:uid="{D399FD8F-75DE-4CFA-B138-5C7CD68E181E}"/>
  <tableColumns count="2">
    <tableColumn id="1" xr3:uid="{6BBAA12B-A9DB-4163-AD3E-E8DE7A9B04C4}" uniqueName="1" name="Name" queryTableFieldId="1"/>
    <tableColumn id="2" xr3:uid="{0B6E3F84-5971-42C7-A9F2-64753C3E317F}" uniqueName="2" name="Value" queryTableFieldId="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97C9679-D511-4998-AE49-862D7740613F}" name="Pagination" displayName="Pagination" ref="X26:AE126" tableType="queryTable" totalsRowShown="0">
  <autoFilter ref="X26:AE126" xr:uid="{18F317F4-1256-4AC2-A88D-6CE735154408}"/>
  <sortState ref="X27:AE126">
    <sortCondition descending="1" ref="AC26:AC126"/>
  </sortState>
  <tableColumns count="8">
    <tableColumn id="1" xr3:uid="{39BA9ACE-1F8C-4000-A2A9-31F8CEF5E5C1}" uniqueName="1" name="Column1.id" queryTableFieldId="1"/>
    <tableColumn id="2" xr3:uid="{AEFF5FBA-C226-44EC-9B57-F84299BFAABD}" uniqueName="2" name="Column1.created_at" queryTableFieldId="2"/>
    <tableColumn id="3" xr3:uid="{C4286092-FE62-4921-AB7D-094529F5C9F7}" uniqueName="3" name="Column1.source" queryTableFieldId="3"/>
    <tableColumn id="4" xr3:uid="{3D1DF88B-8CF1-4166-BBEE-0C21F6FEEBDE}" uniqueName="4" name="Column1.text" queryTableFieldId="4"/>
    <tableColumn id="5" xr3:uid="{48D80CA2-D654-434B-8E27-911230594DE3}" uniqueName="5" name="Column1.public_metrics.retweet_count" queryTableFieldId="5"/>
    <tableColumn id="6" xr3:uid="{C9C2D3F8-5AEA-41C4-B522-30AC13DD91F1}" uniqueName="6" name="Column1.public_metrics.reply_count" queryTableFieldId="6"/>
    <tableColumn id="7" xr3:uid="{EEEB05CA-81B2-4B09-85F0-F9D56DA45E27}" uniqueName="7" name="Column1.public_metrics.like_count" queryTableFieldId="7"/>
    <tableColumn id="8" xr3:uid="{E8DCBFC3-3539-49AE-B842-9651E4E2697D}" uniqueName="8" name="Column1.public_metrics.quote_count" queryTableFieldId="8"/>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6751561-5D59-4484-AF92-2DCAF3B16D60}" name="liking_users" displayName="liking_users" ref="H21:J113" tableType="queryTable" totalsRowShown="0">
  <autoFilter ref="H21:J113" xr:uid="{9B5AE582-CE19-4E34-B211-33EFCD708E14}"/>
  <tableColumns count="3">
    <tableColumn id="1" xr3:uid="{1502A5D7-F7B8-4ACF-B694-801089D5FF81}" uniqueName="1" name="Column1.id" queryTableFieldId="1"/>
    <tableColumn id="2" xr3:uid="{131E4829-E542-4849-B32D-7D9276833119}" uniqueName="2" name="Column1.name" queryTableFieldId="2"/>
    <tableColumn id="3" xr3:uid="{D16FD87F-4DE8-4985-BCBF-2DBA827D34B1}" uniqueName="3" name="Column1.username" queryTableFieldId="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7531442-8615-4FF0-8875-AD1B66AC0592}" name="Konwersacja" displayName="Konwersacja" ref="B21:C25" tableType="queryTable" totalsRowShown="0">
  <autoFilter ref="B21:C25" xr:uid="{A3B75ECF-90C5-4508-A899-8AA3E4F3F4DF}"/>
  <tableColumns count="2">
    <tableColumn id="1" xr3:uid="{F48C723F-C01A-47B0-900E-988E10253583}" uniqueName="1" name="Name" queryTableFieldId="1"/>
    <tableColumn id="2" xr3:uid="{AEFCC4F2-4380-48A9-AE72-E1F0B393FEB2}" uniqueName="2" name="Value" queryTableFieldId="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68A8B95-DCA5-4DA0-8F81-4A823BD0AB9C}" name="quote_tweets" displayName="quote_tweets" ref="L21:M31" tableType="queryTable" totalsRowShown="0">
  <autoFilter ref="L21:M31" xr:uid="{A90ED6C6-B4F2-4FA1-813B-50035881B3FC}"/>
  <tableColumns count="2">
    <tableColumn id="1" xr3:uid="{A722C195-35FD-41D7-969D-1B31D7A840C7}" uniqueName="1" name="Column1.id" queryTableFieldId="1"/>
    <tableColumn id="2" xr3:uid="{2F44BB69-2CC1-4485-92D6-AC9878E2D8D8}" uniqueName="2" name="Column1.text" queryTableFieldId="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3E7D7A8-51B0-48A9-B8F2-E6B5D046696F}" name="retweeted_by" displayName="retweeted_by" ref="P21:R116" tableType="queryTable" totalsRowShown="0">
  <autoFilter ref="P21:R116" xr:uid="{68840902-E689-4004-9F0F-F1BC08E9F459}"/>
  <tableColumns count="3">
    <tableColumn id="1" xr3:uid="{65451B55-5C2C-4999-A828-F6D6741FF105}" uniqueName="1" name="Column1.id" queryTableFieldId="1"/>
    <tableColumn id="2" xr3:uid="{312381C0-270F-410B-B287-D3F25A005EC1}" uniqueName="2" name="Column1.name" queryTableFieldId="2"/>
    <tableColumn id="3" xr3:uid="{87B98AF7-7984-467E-9C21-143BAD429C8B}" uniqueName="3" name="Column1.username"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eveloper.twitter.com/" TargetMode="External"/><Relationship Id="rId2" Type="http://schemas.openxmlformats.org/officeDocument/2006/relationships/hyperlink" Target="https://developer.twitter.com/apitools/api" TargetMode="External"/><Relationship Id="rId1" Type="http://schemas.openxmlformats.org/officeDocument/2006/relationships/hyperlink" Target="https://oauth-playground.glitch.me/"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api.twitter.com/2/users/by?usernames=PiotrZychowicz,lkwarzecha,BartosiakJacek" TargetMode="External"/><Relationship Id="rId1" Type="http://schemas.openxmlformats.org/officeDocument/2006/relationships/hyperlink" Target="https://api.twitter.com/2/users/by?usernames=" TargetMode="Externa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hyperlink" Target="https://developer.twitter.com/en/docs/twitter-api/data-dictionary/object-model/tweet" TargetMode="External"/><Relationship Id="rId7" Type="http://schemas.openxmlformats.org/officeDocument/2006/relationships/table" Target="../tables/table4.xml"/><Relationship Id="rId2" Type="http://schemas.openxmlformats.org/officeDocument/2006/relationships/hyperlink" Target="https://developer.twitter.com/en/docs/twitter-api/tweets/timelines/quick-start" TargetMode="External"/><Relationship Id="rId1" Type="http://schemas.openxmlformats.org/officeDocument/2006/relationships/hyperlink" Target="https://api.twitter.com/2/users/" TargetMode="External"/><Relationship Id="rId6" Type="http://schemas.openxmlformats.org/officeDocument/2006/relationships/table" Target="../tables/table3.xml"/><Relationship Id="rId5" Type="http://schemas.openxmlformats.org/officeDocument/2006/relationships/hyperlink" Target="https://developer.twitter.com/en/docs/twitter-api/pagination" TargetMode="External"/><Relationship Id="rId10" Type="http://schemas.openxmlformats.org/officeDocument/2006/relationships/table" Target="../tables/table7.xml"/><Relationship Id="rId4" Type="http://schemas.openxmlformats.org/officeDocument/2006/relationships/hyperlink" Target="https://developer.twitter.com/en/docs/twitter-api/tweets/timelines/introduction" TargetMode="External"/><Relationship Id="rId9" Type="http://schemas.openxmlformats.org/officeDocument/2006/relationships/table" Target="../tables/table6.xml"/></Relationships>
</file>

<file path=xl/worksheets/_rels/sheet4.xml.rels><?xml version="1.0" encoding="UTF-8" standalone="yes"?>
<Relationships xmlns="http://schemas.openxmlformats.org/package/2006/relationships"><Relationship Id="rId8" Type="http://schemas.openxmlformats.org/officeDocument/2006/relationships/hyperlink" Target="https://api.twitter.com/2/tweets/1456182333074284553/quote_tweets" TargetMode="External"/><Relationship Id="rId13" Type="http://schemas.openxmlformats.org/officeDocument/2006/relationships/table" Target="../tables/table10.xml"/><Relationship Id="rId3" Type="http://schemas.openxmlformats.org/officeDocument/2006/relationships/hyperlink" Target="https://api.twitter.com/2/tweets?ids=1456182333074284553&amp;tweet.fields=conversation_id" TargetMode="External"/><Relationship Id="rId7" Type="http://schemas.openxmlformats.org/officeDocument/2006/relationships/hyperlink" Target="https://developer.twitter.com/en/docs/twitter-api/tweets/search/quick-start/recent-search" TargetMode="External"/><Relationship Id="rId12" Type="http://schemas.openxmlformats.org/officeDocument/2006/relationships/table" Target="../tables/table9.xml"/><Relationship Id="rId2" Type="http://schemas.openxmlformats.org/officeDocument/2006/relationships/hyperlink" Target="https://twitter.com/biuronbp/status/1456182333074284553" TargetMode="External"/><Relationship Id="rId1" Type="http://schemas.openxmlformats.org/officeDocument/2006/relationships/hyperlink" Target="https://developer.twitter.com/en/docs/twitter-api/tweets/lookup/introduction" TargetMode="External"/><Relationship Id="rId6" Type="http://schemas.openxmlformats.org/officeDocument/2006/relationships/hyperlink" Target="https://api.twitter.com/2/tweets/1456182333074284553/liking_users" TargetMode="External"/><Relationship Id="rId11" Type="http://schemas.openxmlformats.org/officeDocument/2006/relationships/table" Target="../tables/table8.xml"/><Relationship Id="rId5" Type="http://schemas.openxmlformats.org/officeDocument/2006/relationships/hyperlink" Target="https://developer.twitter.com/en/docs/twitter-api/tweets/likes/api-reference/get-tweets-id-liking_users" TargetMode="External"/><Relationship Id="rId10" Type="http://schemas.openxmlformats.org/officeDocument/2006/relationships/hyperlink" Target="https://developer.twitter.com/en/docs/twitter-api/tweets/retweets/introduction" TargetMode="External"/><Relationship Id="rId4" Type="http://schemas.openxmlformats.org/officeDocument/2006/relationships/hyperlink" Target="https://api.twitter.com/2/tweets/search/recent?query=conversation_id:1456182333074284553&amp;tweet.fields=created_at&amp;expansions=author_id&amp;user.fields=created_at" TargetMode="External"/><Relationship Id="rId9" Type="http://schemas.openxmlformats.org/officeDocument/2006/relationships/hyperlink" Target="https://api.twitter.com/2/tweets/1456182333074284553/retweeted_by" TargetMode="External"/><Relationship Id="rId14"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86085-A195-4C9F-A52B-3B926BE5DFE2}">
  <dimension ref="B6:D24"/>
  <sheetViews>
    <sheetView showGridLines="0" workbookViewId="0">
      <selection activeCell="I18" sqref="I17:I18"/>
    </sheetView>
  </sheetViews>
  <sheetFormatPr defaultRowHeight="15" x14ac:dyDescent="0.25"/>
  <cols>
    <col min="15" max="15" width="9.85546875" bestFit="1" customWidth="1"/>
    <col min="16" max="16" width="20.28515625" bestFit="1" customWidth="1"/>
  </cols>
  <sheetData>
    <row r="6" spans="2:3" x14ac:dyDescent="0.25">
      <c r="B6" t="s">
        <v>1529</v>
      </c>
    </row>
    <row r="8" spans="2:3" x14ac:dyDescent="0.25">
      <c r="C8" t="s">
        <v>1531</v>
      </c>
    </row>
    <row r="10" spans="2:3" x14ac:dyDescent="0.25">
      <c r="C10" s="1" t="s">
        <v>1530</v>
      </c>
    </row>
    <row r="13" spans="2:3" x14ac:dyDescent="0.25">
      <c r="C13" t="s">
        <v>1532</v>
      </c>
    </row>
    <row r="14" spans="2:3" x14ac:dyDescent="0.25">
      <c r="C14" s="1" t="s">
        <v>1</v>
      </c>
    </row>
    <row r="16" spans="2:3" x14ac:dyDescent="0.25">
      <c r="C16" s="1" t="s">
        <v>0</v>
      </c>
    </row>
    <row r="19" spans="2:4" x14ac:dyDescent="0.25">
      <c r="B19" t="s">
        <v>1533</v>
      </c>
    </row>
    <row r="21" spans="2:4" x14ac:dyDescent="0.25">
      <c r="C21" t="s">
        <v>1528</v>
      </c>
    </row>
    <row r="23" spans="2:4" x14ac:dyDescent="0.25">
      <c r="C23" t="s">
        <v>1527</v>
      </c>
      <c r="D23" t="s">
        <v>5</v>
      </c>
    </row>
    <row r="24" spans="2:4" x14ac:dyDescent="0.25">
      <c r="C24" t="s">
        <v>38</v>
      </c>
      <c r="D24" t="str">
        <f>"Bearer " &amp;D21</f>
        <v xml:space="preserve">Bearer </v>
      </c>
    </row>
  </sheetData>
  <hyperlinks>
    <hyperlink ref="C16" r:id="rId1" xr:uid="{98004007-6966-4D82-AB22-12AE9DBB4F38}"/>
    <hyperlink ref="C14" r:id="rId2" xr:uid="{B8434F64-A651-4AB7-AFF6-A53C0282F6AC}"/>
    <hyperlink ref="C10" r:id="rId3" xr:uid="{57704E49-BEFE-4633-AE7E-9FDBC27706B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3A385-9241-47BA-A8AD-E598F4AACB5C}">
  <dimension ref="B2:L26"/>
  <sheetViews>
    <sheetView showGridLines="0" tabSelected="1" workbookViewId="0"/>
  </sheetViews>
  <sheetFormatPr defaultRowHeight="15" x14ac:dyDescent="0.25"/>
  <cols>
    <col min="2" max="2" width="15.7109375" customWidth="1"/>
    <col min="3" max="3" width="83.28515625" bestFit="1" customWidth="1"/>
    <col min="5" max="5" width="19.28515625" bestFit="1" customWidth="1"/>
    <col min="6" max="6" width="16.85546875" bestFit="1" customWidth="1"/>
    <col min="7" max="7" width="20.85546875" bestFit="1" customWidth="1"/>
  </cols>
  <sheetData>
    <row r="2" spans="2:12" x14ac:dyDescent="0.25">
      <c r="B2" s="15" t="s">
        <v>47</v>
      </c>
      <c r="C2" s="15"/>
      <c r="E2" s="15" t="s">
        <v>53</v>
      </c>
      <c r="F2" s="15"/>
      <c r="G2" s="15"/>
      <c r="H2" s="15"/>
      <c r="I2" s="15"/>
      <c r="J2" s="15"/>
      <c r="K2" s="15"/>
      <c r="L2" s="15"/>
    </row>
    <row r="4" spans="2:12" x14ac:dyDescent="0.25">
      <c r="B4" t="s">
        <v>48</v>
      </c>
      <c r="E4" t="s">
        <v>56</v>
      </c>
    </row>
    <row r="6" spans="2:12" x14ac:dyDescent="0.25">
      <c r="B6" t="s">
        <v>45</v>
      </c>
      <c r="C6" s="1" t="s">
        <v>46</v>
      </c>
      <c r="E6" t="s">
        <v>57</v>
      </c>
      <c r="F6" s="1"/>
    </row>
    <row r="8" spans="2:12" x14ac:dyDescent="0.25">
      <c r="B8" s="3" t="s">
        <v>51</v>
      </c>
      <c r="E8" t="s">
        <v>59</v>
      </c>
      <c r="F8" t="s">
        <v>60</v>
      </c>
    </row>
    <row r="9" spans="2:12" ht="16.5" x14ac:dyDescent="0.25">
      <c r="B9" t="s">
        <v>40</v>
      </c>
      <c r="C9" s="1" t="s">
        <v>2</v>
      </c>
      <c r="E9" s="5" t="s">
        <v>58</v>
      </c>
      <c r="F9" t="str">
        <f>E9&amp; ","</f>
        <v>PiotrZychowicz,</v>
      </c>
    </row>
    <row r="10" spans="2:12" ht="16.5" x14ac:dyDescent="0.25">
      <c r="B10" t="s">
        <v>49</v>
      </c>
      <c r="C10" t="s">
        <v>3</v>
      </c>
      <c r="E10" s="5" t="s">
        <v>62</v>
      </c>
      <c r="F10" t="str">
        <f t="shared" ref="F10:F11" si="0">E10&amp; ","</f>
        <v>lkwarzecha,</v>
      </c>
    </row>
    <row r="11" spans="2:12" ht="16.5" x14ac:dyDescent="0.3">
      <c r="E11" s="4" t="s">
        <v>61</v>
      </c>
      <c r="F11" t="str">
        <f t="shared" si="0"/>
        <v>BartosiakJacek,</v>
      </c>
    </row>
    <row r="12" spans="2:12" x14ac:dyDescent="0.25">
      <c r="B12" t="s">
        <v>39</v>
      </c>
      <c r="C12" t="str">
        <f>Użytkownicy!C9&amp;Użytkownicy!C10</f>
        <v>https://api.twitter.com/2/users/by?usernames=BiuroNbp</v>
      </c>
    </row>
    <row r="13" spans="2:12" x14ac:dyDescent="0.25">
      <c r="E13" t="s">
        <v>63</v>
      </c>
      <c r="F13" t="str">
        <f>_xlfn.CONCAT(F9:F11)</f>
        <v>PiotrZychowicz,lkwarzecha,BartosiakJacek,</v>
      </c>
    </row>
    <row r="14" spans="2:12" x14ac:dyDescent="0.25">
      <c r="B14" t="s">
        <v>38</v>
      </c>
      <c r="C14" t="s">
        <v>4</v>
      </c>
    </row>
    <row r="15" spans="2:12" x14ac:dyDescent="0.25">
      <c r="E15" t="s">
        <v>39</v>
      </c>
      <c r="F15" t="str">
        <f>$C$9&amp;$F$13</f>
        <v>https://api.twitter.com/2/users/by?usernames=PiotrZychowicz,lkwarzecha,BartosiakJacek,</v>
      </c>
    </row>
    <row r="17" spans="2:7" x14ac:dyDescent="0.25">
      <c r="E17" t="s">
        <v>38</v>
      </c>
      <c r="F17" s="1" t="s">
        <v>64</v>
      </c>
    </row>
    <row r="20" spans="2:7" x14ac:dyDescent="0.25">
      <c r="B20" s="3" t="s">
        <v>52</v>
      </c>
      <c r="E20" s="3" t="s">
        <v>52</v>
      </c>
    </row>
    <row r="23" spans="2:7" x14ac:dyDescent="0.25">
      <c r="B23" t="s">
        <v>6</v>
      </c>
      <c r="C23" t="s">
        <v>7</v>
      </c>
      <c r="E23" t="s">
        <v>16</v>
      </c>
      <c r="F23" t="s">
        <v>65</v>
      </c>
      <c r="G23" t="s">
        <v>66</v>
      </c>
    </row>
    <row r="24" spans="2:7" x14ac:dyDescent="0.25">
      <c r="B24" t="s">
        <v>8</v>
      </c>
      <c r="C24" t="s">
        <v>9</v>
      </c>
      <c r="E24" t="s">
        <v>67</v>
      </c>
      <c r="F24" t="s">
        <v>68</v>
      </c>
      <c r="G24" t="s">
        <v>58</v>
      </c>
    </row>
    <row r="25" spans="2:7" x14ac:dyDescent="0.25">
      <c r="B25" t="s">
        <v>10</v>
      </c>
      <c r="C25" t="s">
        <v>11</v>
      </c>
      <c r="E25" t="s">
        <v>69</v>
      </c>
      <c r="F25" t="s">
        <v>70</v>
      </c>
      <c r="G25" t="s">
        <v>62</v>
      </c>
    </row>
    <row r="26" spans="2:7" x14ac:dyDescent="0.25">
      <c r="B26" t="s">
        <v>12</v>
      </c>
      <c r="C26" t="s">
        <v>3</v>
      </c>
      <c r="E26" t="s">
        <v>71</v>
      </c>
      <c r="F26" t="s">
        <v>72</v>
      </c>
      <c r="G26" t="s">
        <v>61</v>
      </c>
    </row>
  </sheetData>
  <mergeCells count="2">
    <mergeCell ref="B2:C2"/>
    <mergeCell ref="E2:L2"/>
  </mergeCells>
  <hyperlinks>
    <hyperlink ref="C9" r:id="rId1" xr:uid="{AFB81267-B405-4816-9190-73AFC023EB43}"/>
    <hyperlink ref="F17" r:id="rId2" xr:uid="{A4949D7B-DE64-450E-8F9A-0E6E33325D42}"/>
  </hyperlinks>
  <pageMargins left="0.7" right="0.7" top="0.75" bottom="0.75" header="0.3" footer="0.3"/>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2D8FE-0A4C-44FB-A1FE-BB169AD60A51}">
  <dimension ref="C6:AE126"/>
  <sheetViews>
    <sheetView showGridLines="0" topLeftCell="M78" zoomScale="70" zoomScaleNormal="70" workbookViewId="0">
      <selection activeCell="O132" sqref="O132"/>
    </sheetView>
  </sheetViews>
  <sheetFormatPr defaultRowHeight="15" x14ac:dyDescent="0.25"/>
  <cols>
    <col min="3" max="3" width="24.5703125" bestFit="1" customWidth="1"/>
    <col min="4" max="4" width="190.85546875" bestFit="1" customWidth="1"/>
    <col min="6" max="6" width="29.140625" bestFit="1" customWidth="1"/>
    <col min="7" max="7" width="50.42578125" customWidth="1"/>
    <col min="8" max="8" width="60.42578125" customWidth="1"/>
    <col min="9" max="9" width="81.140625" customWidth="1"/>
    <col min="10" max="10" width="50.28515625" bestFit="1" customWidth="1"/>
    <col min="11" max="11" width="47.28515625" bestFit="1" customWidth="1"/>
    <col min="12" max="12" width="45.7109375" bestFit="1" customWidth="1"/>
    <col min="13" max="13" width="48.28515625" bestFit="1" customWidth="1"/>
    <col min="15" max="15" width="24.5703125" bestFit="1" customWidth="1"/>
    <col min="16" max="16" width="28.28515625" bestFit="1" customWidth="1"/>
    <col min="17" max="17" width="23.140625" bestFit="1" customWidth="1"/>
    <col min="18" max="18" width="81.140625" bestFit="1" customWidth="1"/>
    <col min="19" max="19" width="50.28515625" bestFit="1" customWidth="1"/>
    <col min="20" max="20" width="47.28515625" bestFit="1" customWidth="1"/>
    <col min="21" max="21" width="45.7109375" bestFit="1" customWidth="1"/>
    <col min="22" max="22" width="48.28515625" bestFit="1" customWidth="1"/>
    <col min="24" max="24" width="24.5703125" bestFit="1" customWidth="1"/>
    <col min="25" max="25" width="28.140625" bestFit="1" customWidth="1"/>
    <col min="26" max="26" width="23.140625" bestFit="1" customWidth="1"/>
    <col min="27" max="27" width="81.140625" bestFit="1" customWidth="1"/>
    <col min="28" max="28" width="50.28515625" bestFit="1" customWidth="1"/>
    <col min="29" max="29" width="47.28515625" bestFit="1" customWidth="1"/>
    <col min="30" max="30" width="45.7109375" bestFit="1" customWidth="1"/>
    <col min="31" max="31" width="48.28515625" bestFit="1" customWidth="1"/>
  </cols>
  <sheetData>
    <row r="6" spans="3:31" x14ac:dyDescent="0.25">
      <c r="C6" s="15" t="s">
        <v>43</v>
      </c>
      <c r="D6" s="15"/>
      <c r="F6" s="16" t="s">
        <v>365</v>
      </c>
      <c r="G6" s="16"/>
      <c r="H6" s="16"/>
      <c r="I6" s="16"/>
      <c r="J6" s="16"/>
      <c r="K6" s="16"/>
      <c r="L6" s="16"/>
      <c r="M6" s="16"/>
      <c r="O6" s="16" t="s">
        <v>367</v>
      </c>
      <c r="P6" s="16"/>
      <c r="Q6" s="16"/>
      <c r="R6" s="16"/>
      <c r="S6" s="16"/>
      <c r="T6" s="16"/>
      <c r="U6" s="16"/>
      <c r="V6" s="16"/>
      <c r="X6" s="16" t="s">
        <v>638</v>
      </c>
      <c r="Y6" s="16"/>
      <c r="Z6" s="16"/>
      <c r="AA6" s="16"/>
      <c r="AB6" s="16"/>
      <c r="AC6" s="16"/>
      <c r="AD6" s="16"/>
      <c r="AE6" s="16"/>
    </row>
    <row r="8" spans="3:31" x14ac:dyDescent="0.25">
      <c r="C8" s="3" t="s">
        <v>50</v>
      </c>
      <c r="F8" s="3" t="s">
        <v>55</v>
      </c>
      <c r="O8" s="3" t="s">
        <v>368</v>
      </c>
      <c r="X8" s="3" t="s">
        <v>640</v>
      </c>
    </row>
    <row r="9" spans="3:31" x14ac:dyDescent="0.25">
      <c r="O9" s="13"/>
    </row>
    <row r="10" spans="3:31" x14ac:dyDescent="0.25">
      <c r="C10" t="s">
        <v>45</v>
      </c>
      <c r="D10" s="1" t="s">
        <v>44</v>
      </c>
      <c r="F10" t="s">
        <v>45</v>
      </c>
      <c r="G10" s="1" t="s">
        <v>54</v>
      </c>
      <c r="O10" s="13" t="s">
        <v>369</v>
      </c>
      <c r="X10" s="13" t="s">
        <v>45</v>
      </c>
      <c r="Y10" s="1" t="s">
        <v>639</v>
      </c>
    </row>
    <row r="11" spans="3:31" x14ac:dyDescent="0.25">
      <c r="O11" s="13"/>
    </row>
    <row r="12" spans="3:31" x14ac:dyDescent="0.25">
      <c r="C12" s="3" t="s">
        <v>51</v>
      </c>
      <c r="O12" s="13" t="s">
        <v>45</v>
      </c>
      <c r="P12" s="1" t="s">
        <v>370</v>
      </c>
      <c r="X12" s="3" t="s">
        <v>646</v>
      </c>
      <c r="AA12" s="3" t="s">
        <v>647</v>
      </c>
    </row>
    <row r="13" spans="3:31" x14ac:dyDescent="0.25">
      <c r="C13" t="s">
        <v>40</v>
      </c>
      <c r="D13" s="1" t="s">
        <v>14</v>
      </c>
      <c r="F13" s="3" t="s">
        <v>74</v>
      </c>
      <c r="H13" s="11"/>
    </row>
    <row r="14" spans="3:31" x14ac:dyDescent="0.25">
      <c r="C14" t="s">
        <v>41</v>
      </c>
      <c r="D14" s="2" t="s">
        <v>9</v>
      </c>
      <c r="F14" s="10" t="s">
        <v>76</v>
      </c>
      <c r="G14" s="10" t="s">
        <v>38</v>
      </c>
      <c r="H14" s="10" t="s">
        <v>77</v>
      </c>
      <c r="O14" s="10" t="s">
        <v>76</v>
      </c>
      <c r="P14" s="10" t="s">
        <v>38</v>
      </c>
      <c r="Q14" s="10" t="s">
        <v>77</v>
      </c>
      <c r="X14" t="s">
        <v>6</v>
      </c>
      <c r="Y14" t="s">
        <v>7</v>
      </c>
      <c r="AA14" s="10" t="s">
        <v>76</v>
      </c>
      <c r="AB14" s="10" t="s">
        <v>38</v>
      </c>
      <c r="AC14" s="10" t="s">
        <v>77</v>
      </c>
    </row>
    <row r="15" spans="3:31" ht="17.25" x14ac:dyDescent="0.3">
      <c r="C15" t="s">
        <v>42</v>
      </c>
      <c r="D15" t="s">
        <v>13</v>
      </c>
      <c r="F15" s="6" t="s">
        <v>73</v>
      </c>
      <c r="G15" s="7" t="s">
        <v>80</v>
      </c>
      <c r="H15" s="8" t="str">
        <f>F15&amp;"="&amp;G15 &amp;"&amp;"</f>
        <v>tweet.fields=id,text,public_metrics,created_at, source&amp;</v>
      </c>
      <c r="I15" s="12" t="s">
        <v>366</v>
      </c>
      <c r="O15" s="6" t="s">
        <v>371</v>
      </c>
      <c r="P15" s="8" t="str">
        <f>F126</f>
        <v>2021-12-16T11:01:50.000Z</v>
      </c>
      <c r="Q15" s="8" t="str">
        <f>O15&amp;"="&amp;P15</f>
        <v>end_time=2021-12-16T11:01:50.000Z</v>
      </c>
      <c r="X15" t="s">
        <v>641</v>
      </c>
      <c r="Y15" t="s">
        <v>642</v>
      </c>
      <c r="AA15" s="6" t="s">
        <v>648</v>
      </c>
      <c r="AB15" s="8" t="str">
        <f>NextToken[[#This Row],[Value]]</f>
        <v>7140dibdnow9c7btw3z3axw230aygdmdzhtzbly2pxh6b</v>
      </c>
      <c r="AC15" s="8" t="str">
        <f>AA15&amp;"="&amp;AB15</f>
        <v>pagination_token=7140dibdnow9c7btw3z3axw230aygdmdzhtzbly2pxh6b</v>
      </c>
    </row>
    <row r="16" spans="3:31" ht="15.75" x14ac:dyDescent="0.25">
      <c r="F16" s="6" t="s">
        <v>75</v>
      </c>
      <c r="G16" s="9">
        <v>100</v>
      </c>
      <c r="H16" s="8" t="str">
        <f>F16&amp;"="&amp;G16 &amp;"&amp;"</f>
        <v>max_results=100&amp;</v>
      </c>
      <c r="X16" t="s">
        <v>643</v>
      </c>
      <c r="Y16">
        <v>100</v>
      </c>
    </row>
    <row r="17" spans="3:31" x14ac:dyDescent="0.25">
      <c r="C17" s="3" t="s">
        <v>78</v>
      </c>
      <c r="X17" t="s">
        <v>644</v>
      </c>
      <c r="Y17" t="s">
        <v>333</v>
      </c>
    </row>
    <row r="18" spans="3:31" x14ac:dyDescent="0.25">
      <c r="C18" t="s">
        <v>39</v>
      </c>
      <c r="D18" t="str">
        <f>D13&amp;D14&amp;D15</f>
        <v>https://api.twitter.com/2/users/1362715270448640001/tweets</v>
      </c>
      <c r="F18" s="3" t="s">
        <v>79</v>
      </c>
      <c r="G18" t="str">
        <f>_xlfn.CONCAT(H15:H16)</f>
        <v>tweet.fields=id,text,public_metrics,created_at, source&amp;max_results=100&amp;</v>
      </c>
      <c r="X18" t="s">
        <v>645</v>
      </c>
      <c r="Y18" t="s">
        <v>635</v>
      </c>
    </row>
    <row r="20" spans="3:31" x14ac:dyDescent="0.25">
      <c r="C20" t="s">
        <v>38</v>
      </c>
      <c r="D20" t="s">
        <v>15</v>
      </c>
      <c r="F20" s="3" t="s">
        <v>78</v>
      </c>
      <c r="O20" s="3" t="s">
        <v>78</v>
      </c>
      <c r="X20" s="3" t="s">
        <v>78</v>
      </c>
    </row>
    <row r="21" spans="3:31" x14ac:dyDescent="0.25">
      <c r="F21" s="1" t="str">
        <f>$D$18 &amp;"?"&amp;$G$18</f>
        <v>https://api.twitter.com/2/users/1362715270448640001/tweets?tweet.fields=id,text,public_metrics,created_at, source&amp;max_results=100&amp;</v>
      </c>
      <c r="O21" t="str">
        <f>$F$21&amp;$Q$15</f>
        <v>https://api.twitter.com/2/users/1362715270448640001/tweets?tweet.fields=id,text,public_metrics,created_at, source&amp;max_results=100&amp;end_time=2021-12-16T11:01:50.000Z</v>
      </c>
      <c r="X21" t="str">
        <f>$F$21&amp;$AC$15</f>
        <v>https://api.twitter.com/2/users/1362715270448640001/tweets?tweet.fields=id,text,public_metrics,created_at, source&amp;max_results=100&amp;pagination_token=7140dibdnow9c7btw3z3axw230aygdmdzhtzbly2pxh6b</v>
      </c>
    </row>
    <row r="22" spans="3:31" x14ac:dyDescent="0.25">
      <c r="F22" s="1"/>
    </row>
    <row r="23" spans="3:31" x14ac:dyDescent="0.25">
      <c r="F23" s="1"/>
    </row>
    <row r="24" spans="3:31" x14ac:dyDescent="0.25">
      <c r="C24" s="3" t="s">
        <v>52</v>
      </c>
      <c r="F24" s="3" t="s">
        <v>52</v>
      </c>
      <c r="O24" s="3" t="s">
        <v>52</v>
      </c>
      <c r="X24" s="3" t="s">
        <v>52</v>
      </c>
    </row>
    <row r="26" spans="3:31" x14ac:dyDescent="0.25">
      <c r="C26" t="s">
        <v>16</v>
      </c>
      <c r="D26" t="s">
        <v>17</v>
      </c>
      <c r="F26" t="s">
        <v>81</v>
      </c>
      <c r="G26" t="s">
        <v>82</v>
      </c>
      <c r="H26" t="s">
        <v>16</v>
      </c>
      <c r="I26" t="s">
        <v>17</v>
      </c>
      <c r="J26" t="s">
        <v>83</v>
      </c>
      <c r="K26" t="s">
        <v>84</v>
      </c>
      <c r="L26" t="s">
        <v>85</v>
      </c>
      <c r="M26" t="s">
        <v>86</v>
      </c>
      <c r="O26" t="s">
        <v>16</v>
      </c>
      <c r="P26" t="s">
        <v>81</v>
      </c>
      <c r="Q26" t="s">
        <v>82</v>
      </c>
      <c r="R26" t="s">
        <v>17</v>
      </c>
      <c r="S26" t="s">
        <v>83</v>
      </c>
      <c r="T26" t="s">
        <v>84</v>
      </c>
      <c r="U26" t="s">
        <v>85</v>
      </c>
      <c r="V26" t="s">
        <v>86</v>
      </c>
      <c r="X26" t="s">
        <v>16</v>
      </c>
      <c r="Y26" t="s">
        <v>81</v>
      </c>
      <c r="Z26" t="s">
        <v>82</v>
      </c>
      <c r="AA26" t="s">
        <v>17</v>
      </c>
      <c r="AB26" t="s">
        <v>83</v>
      </c>
      <c r="AC26" t="s">
        <v>84</v>
      </c>
      <c r="AD26" t="s">
        <v>85</v>
      </c>
      <c r="AE26" t="s">
        <v>86</v>
      </c>
    </row>
    <row r="27" spans="3:31" x14ac:dyDescent="0.25">
      <c r="C27" t="s">
        <v>18</v>
      </c>
      <c r="D27" t="s">
        <v>19</v>
      </c>
      <c r="F27" t="s">
        <v>96</v>
      </c>
      <c r="G27" t="s">
        <v>88</v>
      </c>
      <c r="H27" t="s">
        <v>32</v>
      </c>
      <c r="I27" t="s">
        <v>33</v>
      </c>
      <c r="J27">
        <v>16</v>
      </c>
      <c r="K27">
        <v>349</v>
      </c>
      <c r="L27">
        <v>57</v>
      </c>
      <c r="M27">
        <v>56</v>
      </c>
      <c r="O27" t="s">
        <v>333</v>
      </c>
      <c r="P27" t="s">
        <v>332</v>
      </c>
      <c r="Q27" t="s">
        <v>90</v>
      </c>
      <c r="R27" t="s">
        <v>334</v>
      </c>
      <c r="S27">
        <v>0</v>
      </c>
      <c r="T27">
        <v>1</v>
      </c>
      <c r="U27">
        <v>2</v>
      </c>
      <c r="V27">
        <v>0</v>
      </c>
      <c r="X27" t="s">
        <v>781</v>
      </c>
      <c r="Y27" t="s">
        <v>782</v>
      </c>
      <c r="Z27" t="s">
        <v>90</v>
      </c>
      <c r="AA27" t="s">
        <v>783</v>
      </c>
      <c r="AB27">
        <v>198</v>
      </c>
      <c r="AC27">
        <v>700</v>
      </c>
      <c r="AD27">
        <v>510</v>
      </c>
      <c r="AE27">
        <v>470</v>
      </c>
    </row>
    <row r="28" spans="3:31" x14ac:dyDescent="0.25">
      <c r="C28" t="s">
        <v>20</v>
      </c>
      <c r="D28" t="s">
        <v>21</v>
      </c>
      <c r="F28" t="s">
        <v>93</v>
      </c>
      <c r="G28" t="s">
        <v>88</v>
      </c>
      <c r="H28" t="s">
        <v>26</v>
      </c>
      <c r="I28" t="s">
        <v>27</v>
      </c>
      <c r="J28">
        <v>4</v>
      </c>
      <c r="K28">
        <v>74</v>
      </c>
      <c r="L28">
        <v>11</v>
      </c>
      <c r="M28">
        <v>1</v>
      </c>
      <c r="O28" t="s">
        <v>336</v>
      </c>
      <c r="P28" t="s">
        <v>335</v>
      </c>
      <c r="Q28" t="s">
        <v>90</v>
      </c>
      <c r="R28" t="s">
        <v>337</v>
      </c>
      <c r="S28">
        <v>0</v>
      </c>
      <c r="T28">
        <v>0</v>
      </c>
      <c r="U28">
        <v>1</v>
      </c>
      <c r="V28">
        <v>0</v>
      </c>
      <c r="X28" t="s">
        <v>942</v>
      </c>
      <c r="Y28" t="s">
        <v>943</v>
      </c>
      <c r="Z28" t="s">
        <v>90</v>
      </c>
      <c r="AA28" t="s">
        <v>944</v>
      </c>
      <c r="AB28">
        <v>35</v>
      </c>
      <c r="AC28">
        <v>692</v>
      </c>
      <c r="AD28">
        <v>176</v>
      </c>
      <c r="AE28">
        <v>163</v>
      </c>
    </row>
    <row r="29" spans="3:31" x14ac:dyDescent="0.25">
      <c r="C29" t="s">
        <v>22</v>
      </c>
      <c r="D29" t="s">
        <v>23</v>
      </c>
      <c r="F29" t="s">
        <v>95</v>
      </c>
      <c r="G29" t="s">
        <v>88</v>
      </c>
      <c r="H29" t="s">
        <v>30</v>
      </c>
      <c r="I29" t="s">
        <v>31</v>
      </c>
      <c r="J29">
        <v>5</v>
      </c>
      <c r="K29">
        <v>39</v>
      </c>
      <c r="L29">
        <v>14</v>
      </c>
      <c r="M29">
        <v>0</v>
      </c>
      <c r="O29" t="s">
        <v>339</v>
      </c>
      <c r="P29" t="s">
        <v>338</v>
      </c>
      <c r="Q29" t="s">
        <v>90</v>
      </c>
      <c r="R29" t="s">
        <v>340</v>
      </c>
      <c r="S29">
        <v>0</v>
      </c>
      <c r="T29">
        <v>1</v>
      </c>
      <c r="U29">
        <v>0</v>
      </c>
      <c r="V29">
        <v>0</v>
      </c>
      <c r="X29" t="s">
        <v>828</v>
      </c>
      <c r="Y29" t="s">
        <v>829</v>
      </c>
      <c r="Z29" t="s">
        <v>88</v>
      </c>
      <c r="AA29" t="s">
        <v>830</v>
      </c>
      <c r="AB29">
        <v>42</v>
      </c>
      <c r="AC29">
        <v>248</v>
      </c>
      <c r="AD29">
        <v>84</v>
      </c>
      <c r="AE29">
        <v>90</v>
      </c>
    </row>
    <row r="30" spans="3:31" x14ac:dyDescent="0.25">
      <c r="C30" t="s">
        <v>24</v>
      </c>
      <c r="D30" t="s">
        <v>25</v>
      </c>
      <c r="F30" t="s">
        <v>250</v>
      </c>
      <c r="G30" t="s">
        <v>90</v>
      </c>
      <c r="H30" t="s">
        <v>251</v>
      </c>
      <c r="I30" t="s">
        <v>252</v>
      </c>
      <c r="J30">
        <v>7</v>
      </c>
      <c r="K30">
        <v>38</v>
      </c>
      <c r="L30">
        <v>7</v>
      </c>
      <c r="M30">
        <v>8</v>
      </c>
      <c r="O30" t="s">
        <v>342</v>
      </c>
      <c r="P30" t="s">
        <v>341</v>
      </c>
      <c r="Q30" t="s">
        <v>90</v>
      </c>
      <c r="R30" t="s">
        <v>343</v>
      </c>
      <c r="S30">
        <v>0</v>
      </c>
      <c r="T30">
        <v>1</v>
      </c>
      <c r="U30">
        <v>0</v>
      </c>
      <c r="V30">
        <v>0</v>
      </c>
      <c r="X30" t="s">
        <v>807</v>
      </c>
      <c r="Y30" t="s">
        <v>808</v>
      </c>
      <c r="Z30" t="s">
        <v>90</v>
      </c>
      <c r="AA30" t="s">
        <v>809</v>
      </c>
      <c r="AB30">
        <v>6</v>
      </c>
      <c r="AC30">
        <v>196</v>
      </c>
      <c r="AD30">
        <v>17</v>
      </c>
      <c r="AE30">
        <v>41</v>
      </c>
    </row>
    <row r="31" spans="3:31" x14ac:dyDescent="0.25">
      <c r="C31" t="s">
        <v>26</v>
      </c>
      <c r="D31" t="s">
        <v>27</v>
      </c>
      <c r="F31" t="s">
        <v>213</v>
      </c>
      <c r="G31" t="s">
        <v>88</v>
      </c>
      <c r="H31" t="s">
        <v>214</v>
      </c>
      <c r="I31" t="s">
        <v>215</v>
      </c>
      <c r="J31">
        <v>6</v>
      </c>
      <c r="K31">
        <v>38</v>
      </c>
      <c r="L31">
        <v>19</v>
      </c>
      <c r="M31">
        <v>32</v>
      </c>
      <c r="O31" t="s">
        <v>345</v>
      </c>
      <c r="P31" t="s">
        <v>344</v>
      </c>
      <c r="Q31" t="s">
        <v>90</v>
      </c>
      <c r="R31" t="s">
        <v>346</v>
      </c>
      <c r="S31">
        <v>0</v>
      </c>
      <c r="T31">
        <v>4</v>
      </c>
      <c r="U31">
        <v>1</v>
      </c>
      <c r="V31">
        <v>0</v>
      </c>
      <c r="X31" t="s">
        <v>891</v>
      </c>
      <c r="Y31" t="s">
        <v>892</v>
      </c>
      <c r="Z31" t="s">
        <v>90</v>
      </c>
      <c r="AA31" t="s">
        <v>893</v>
      </c>
      <c r="AB31">
        <v>15</v>
      </c>
      <c r="AC31">
        <v>147</v>
      </c>
      <c r="AD31">
        <v>46</v>
      </c>
      <c r="AE31">
        <v>89</v>
      </c>
    </row>
    <row r="32" spans="3:31" x14ac:dyDescent="0.25">
      <c r="C32" t="s">
        <v>28</v>
      </c>
      <c r="D32" t="s">
        <v>29</v>
      </c>
      <c r="F32" t="s">
        <v>253</v>
      </c>
      <c r="G32" t="s">
        <v>90</v>
      </c>
      <c r="H32" t="s">
        <v>254</v>
      </c>
      <c r="I32" t="s">
        <v>255</v>
      </c>
      <c r="J32">
        <v>4</v>
      </c>
      <c r="K32">
        <v>27</v>
      </c>
      <c r="L32">
        <v>11</v>
      </c>
      <c r="M32">
        <v>3</v>
      </c>
      <c r="O32" t="s">
        <v>348</v>
      </c>
      <c r="P32" t="s">
        <v>347</v>
      </c>
      <c r="Q32" t="s">
        <v>90</v>
      </c>
      <c r="R32" t="s">
        <v>349</v>
      </c>
      <c r="S32">
        <v>6</v>
      </c>
      <c r="T32">
        <v>0</v>
      </c>
      <c r="U32">
        <v>0</v>
      </c>
      <c r="V32">
        <v>0</v>
      </c>
      <c r="X32" t="s">
        <v>795</v>
      </c>
      <c r="Y32" t="s">
        <v>796</v>
      </c>
      <c r="Z32" t="s">
        <v>90</v>
      </c>
      <c r="AA32" t="s">
        <v>797</v>
      </c>
      <c r="AB32">
        <v>6</v>
      </c>
      <c r="AC32">
        <v>95</v>
      </c>
      <c r="AD32">
        <v>7</v>
      </c>
      <c r="AE32">
        <v>36</v>
      </c>
    </row>
    <row r="33" spans="3:31" x14ac:dyDescent="0.25">
      <c r="C33" t="s">
        <v>30</v>
      </c>
      <c r="D33" t="s">
        <v>31</v>
      </c>
      <c r="F33" t="s">
        <v>94</v>
      </c>
      <c r="G33" t="s">
        <v>88</v>
      </c>
      <c r="H33" t="s">
        <v>28</v>
      </c>
      <c r="I33" t="s">
        <v>29</v>
      </c>
      <c r="J33">
        <v>2</v>
      </c>
      <c r="K33">
        <v>23</v>
      </c>
      <c r="L33">
        <v>8</v>
      </c>
      <c r="M33">
        <v>2</v>
      </c>
      <c r="O33" t="s">
        <v>351</v>
      </c>
      <c r="P33" t="s">
        <v>350</v>
      </c>
      <c r="Q33" t="s">
        <v>90</v>
      </c>
      <c r="R33" t="s">
        <v>352</v>
      </c>
      <c r="S33">
        <v>1</v>
      </c>
      <c r="T33">
        <v>0</v>
      </c>
      <c r="U33">
        <v>2</v>
      </c>
      <c r="V33">
        <v>0</v>
      </c>
      <c r="X33" t="s">
        <v>801</v>
      </c>
      <c r="Y33" t="s">
        <v>802</v>
      </c>
      <c r="Z33" t="s">
        <v>90</v>
      </c>
      <c r="AA33" t="s">
        <v>803</v>
      </c>
      <c r="AB33">
        <v>3</v>
      </c>
      <c r="AC33">
        <v>89</v>
      </c>
      <c r="AD33">
        <v>10</v>
      </c>
      <c r="AE33">
        <v>17</v>
      </c>
    </row>
    <row r="34" spans="3:31" x14ac:dyDescent="0.25">
      <c r="C34" t="s">
        <v>32</v>
      </c>
      <c r="D34" t="s">
        <v>33</v>
      </c>
      <c r="F34" t="s">
        <v>323</v>
      </c>
      <c r="G34" t="s">
        <v>90</v>
      </c>
      <c r="H34" t="s">
        <v>324</v>
      </c>
      <c r="I34" t="s">
        <v>325</v>
      </c>
      <c r="J34">
        <v>1</v>
      </c>
      <c r="K34">
        <v>19</v>
      </c>
      <c r="L34">
        <v>5</v>
      </c>
      <c r="M34">
        <v>1</v>
      </c>
      <c r="O34" t="s">
        <v>354</v>
      </c>
      <c r="P34" t="s">
        <v>353</v>
      </c>
      <c r="Q34" t="s">
        <v>90</v>
      </c>
      <c r="R34" t="s">
        <v>355</v>
      </c>
      <c r="S34">
        <v>1</v>
      </c>
      <c r="T34">
        <v>5</v>
      </c>
      <c r="U34">
        <v>4</v>
      </c>
      <c r="V34">
        <v>1</v>
      </c>
      <c r="X34" t="s">
        <v>775</v>
      </c>
      <c r="Y34" t="s">
        <v>776</v>
      </c>
      <c r="Z34" t="s">
        <v>90</v>
      </c>
      <c r="AA34" t="s">
        <v>777</v>
      </c>
      <c r="AB34">
        <v>4</v>
      </c>
      <c r="AC34">
        <v>79</v>
      </c>
      <c r="AD34">
        <v>18</v>
      </c>
      <c r="AE34">
        <v>24</v>
      </c>
    </row>
    <row r="35" spans="3:31" x14ac:dyDescent="0.25">
      <c r="C35" t="s">
        <v>34</v>
      </c>
      <c r="D35" t="s">
        <v>35</v>
      </c>
      <c r="F35" t="s">
        <v>239</v>
      </c>
      <c r="G35" t="s">
        <v>90</v>
      </c>
      <c r="H35" t="s">
        <v>240</v>
      </c>
      <c r="I35" t="s">
        <v>241</v>
      </c>
      <c r="J35">
        <v>3</v>
      </c>
      <c r="K35">
        <v>12</v>
      </c>
      <c r="L35">
        <v>6</v>
      </c>
      <c r="M35">
        <v>1</v>
      </c>
      <c r="O35" t="s">
        <v>357</v>
      </c>
      <c r="P35" t="s">
        <v>356</v>
      </c>
      <c r="Q35" t="s">
        <v>90</v>
      </c>
      <c r="R35" t="s">
        <v>358</v>
      </c>
      <c r="S35">
        <v>1</v>
      </c>
      <c r="T35">
        <v>0</v>
      </c>
      <c r="U35">
        <v>0</v>
      </c>
      <c r="V35">
        <v>0</v>
      </c>
      <c r="X35" t="s">
        <v>906</v>
      </c>
      <c r="Y35" t="s">
        <v>907</v>
      </c>
      <c r="Z35" t="s">
        <v>90</v>
      </c>
      <c r="AA35" t="s">
        <v>908</v>
      </c>
      <c r="AB35">
        <v>4</v>
      </c>
      <c r="AC35">
        <v>76</v>
      </c>
      <c r="AD35">
        <v>34</v>
      </c>
      <c r="AE35">
        <v>16</v>
      </c>
    </row>
    <row r="36" spans="3:31" x14ac:dyDescent="0.25">
      <c r="C36" t="s">
        <v>36</v>
      </c>
      <c r="D36" t="s">
        <v>37</v>
      </c>
      <c r="F36" t="s">
        <v>291</v>
      </c>
      <c r="G36" t="s">
        <v>90</v>
      </c>
      <c r="H36" t="s">
        <v>294</v>
      </c>
      <c r="I36" t="s">
        <v>295</v>
      </c>
      <c r="J36">
        <v>2</v>
      </c>
      <c r="K36">
        <v>12</v>
      </c>
      <c r="L36">
        <v>4</v>
      </c>
      <c r="M36">
        <v>0</v>
      </c>
      <c r="O36" t="s">
        <v>360</v>
      </c>
      <c r="P36" t="s">
        <v>359</v>
      </c>
      <c r="Q36" t="s">
        <v>90</v>
      </c>
      <c r="R36" t="s">
        <v>361</v>
      </c>
      <c r="S36">
        <v>1</v>
      </c>
      <c r="T36">
        <v>0</v>
      </c>
      <c r="U36">
        <v>0</v>
      </c>
      <c r="V36">
        <v>0</v>
      </c>
      <c r="X36" t="s">
        <v>897</v>
      </c>
      <c r="Y36" t="s">
        <v>898</v>
      </c>
      <c r="Z36" t="s">
        <v>90</v>
      </c>
      <c r="AA36" t="s">
        <v>899</v>
      </c>
      <c r="AB36">
        <v>4</v>
      </c>
      <c r="AC36">
        <v>52</v>
      </c>
      <c r="AD36">
        <v>17</v>
      </c>
      <c r="AE36">
        <v>12</v>
      </c>
    </row>
    <row r="37" spans="3:31" x14ac:dyDescent="0.25">
      <c r="F37" t="s">
        <v>120</v>
      </c>
      <c r="G37" t="s">
        <v>88</v>
      </c>
      <c r="H37" t="s">
        <v>121</v>
      </c>
      <c r="I37" t="s">
        <v>122</v>
      </c>
      <c r="J37">
        <v>1</v>
      </c>
      <c r="K37">
        <v>12</v>
      </c>
      <c r="L37">
        <v>11</v>
      </c>
      <c r="M37">
        <v>1</v>
      </c>
      <c r="O37" t="s">
        <v>363</v>
      </c>
      <c r="P37" t="s">
        <v>362</v>
      </c>
      <c r="Q37" t="s">
        <v>90</v>
      </c>
      <c r="R37" t="s">
        <v>364</v>
      </c>
      <c r="S37">
        <v>1</v>
      </c>
      <c r="T37">
        <v>0</v>
      </c>
      <c r="U37">
        <v>0</v>
      </c>
      <c r="V37">
        <v>0</v>
      </c>
      <c r="X37" t="s">
        <v>936</v>
      </c>
      <c r="Y37" t="s">
        <v>937</v>
      </c>
      <c r="Z37" t="s">
        <v>90</v>
      </c>
      <c r="AA37" t="s">
        <v>938</v>
      </c>
      <c r="AB37">
        <v>1</v>
      </c>
      <c r="AC37">
        <v>40</v>
      </c>
      <c r="AD37">
        <v>3</v>
      </c>
      <c r="AE37">
        <v>5</v>
      </c>
    </row>
    <row r="38" spans="3:31" x14ac:dyDescent="0.25">
      <c r="F38" t="s">
        <v>299</v>
      </c>
      <c r="G38" t="s">
        <v>90</v>
      </c>
      <c r="H38" t="s">
        <v>300</v>
      </c>
      <c r="I38" t="s">
        <v>301</v>
      </c>
      <c r="J38">
        <v>0</v>
      </c>
      <c r="K38">
        <v>11</v>
      </c>
      <c r="L38">
        <v>3</v>
      </c>
      <c r="M38">
        <v>1</v>
      </c>
      <c r="O38" t="s">
        <v>372</v>
      </c>
      <c r="P38" t="s">
        <v>373</v>
      </c>
      <c r="Q38" t="s">
        <v>90</v>
      </c>
      <c r="R38" t="s">
        <v>374</v>
      </c>
      <c r="S38">
        <v>2</v>
      </c>
      <c r="T38">
        <v>0</v>
      </c>
      <c r="U38">
        <v>0</v>
      </c>
      <c r="V38">
        <v>0</v>
      </c>
      <c r="X38" t="s">
        <v>778</v>
      </c>
      <c r="Y38" t="s">
        <v>779</v>
      </c>
      <c r="Z38" t="s">
        <v>90</v>
      </c>
      <c r="AA38" t="s">
        <v>780</v>
      </c>
      <c r="AB38">
        <v>7</v>
      </c>
      <c r="AC38">
        <v>29</v>
      </c>
      <c r="AD38">
        <v>18</v>
      </c>
      <c r="AE38">
        <v>6</v>
      </c>
    </row>
    <row r="39" spans="3:31" x14ac:dyDescent="0.25">
      <c r="F39" t="s">
        <v>198</v>
      </c>
      <c r="G39" t="s">
        <v>88</v>
      </c>
      <c r="H39" t="s">
        <v>199</v>
      </c>
      <c r="I39" t="s">
        <v>200</v>
      </c>
      <c r="J39">
        <v>5</v>
      </c>
      <c r="K39">
        <v>10</v>
      </c>
      <c r="L39">
        <v>2</v>
      </c>
      <c r="M39">
        <v>0</v>
      </c>
      <c r="O39" t="s">
        <v>375</v>
      </c>
      <c r="P39" t="s">
        <v>376</v>
      </c>
      <c r="Q39" t="s">
        <v>90</v>
      </c>
      <c r="R39" t="s">
        <v>377</v>
      </c>
      <c r="S39">
        <v>1</v>
      </c>
      <c r="T39">
        <v>0</v>
      </c>
      <c r="U39">
        <v>0</v>
      </c>
      <c r="V39">
        <v>0</v>
      </c>
      <c r="X39" t="s">
        <v>915</v>
      </c>
      <c r="Y39" t="s">
        <v>916</v>
      </c>
      <c r="Z39" t="s">
        <v>90</v>
      </c>
      <c r="AA39" t="s">
        <v>917</v>
      </c>
      <c r="AB39">
        <v>3</v>
      </c>
      <c r="AC39">
        <v>27</v>
      </c>
      <c r="AD39">
        <v>18</v>
      </c>
      <c r="AE39">
        <v>23</v>
      </c>
    </row>
    <row r="40" spans="3:31" x14ac:dyDescent="0.25">
      <c r="F40" t="s">
        <v>201</v>
      </c>
      <c r="G40" t="s">
        <v>88</v>
      </c>
      <c r="H40" t="s">
        <v>202</v>
      </c>
      <c r="I40" t="s">
        <v>203</v>
      </c>
      <c r="J40">
        <v>7</v>
      </c>
      <c r="K40">
        <v>9</v>
      </c>
      <c r="L40">
        <v>7</v>
      </c>
      <c r="M40">
        <v>1</v>
      </c>
      <c r="O40" t="s">
        <v>378</v>
      </c>
      <c r="P40" t="s">
        <v>379</v>
      </c>
      <c r="Q40" t="s">
        <v>90</v>
      </c>
      <c r="R40" t="s">
        <v>380</v>
      </c>
      <c r="S40">
        <v>27</v>
      </c>
      <c r="T40">
        <v>0</v>
      </c>
      <c r="U40">
        <v>0</v>
      </c>
      <c r="V40">
        <v>0</v>
      </c>
      <c r="X40" t="s">
        <v>793</v>
      </c>
      <c r="Y40" t="s">
        <v>791</v>
      </c>
      <c r="Z40" t="s">
        <v>90</v>
      </c>
      <c r="AA40" t="s">
        <v>794</v>
      </c>
      <c r="AB40">
        <v>1</v>
      </c>
      <c r="AC40">
        <v>20</v>
      </c>
      <c r="AD40">
        <v>1</v>
      </c>
      <c r="AE40">
        <v>6</v>
      </c>
    </row>
    <row r="41" spans="3:31" x14ac:dyDescent="0.25">
      <c r="F41" t="s">
        <v>239</v>
      </c>
      <c r="G41" t="s">
        <v>90</v>
      </c>
      <c r="H41" t="s">
        <v>242</v>
      </c>
      <c r="I41" t="s">
        <v>243</v>
      </c>
      <c r="J41">
        <v>2</v>
      </c>
      <c r="K41">
        <v>9</v>
      </c>
      <c r="L41">
        <v>6</v>
      </c>
      <c r="M41">
        <v>2</v>
      </c>
      <c r="O41" t="s">
        <v>381</v>
      </c>
      <c r="P41" t="s">
        <v>382</v>
      </c>
      <c r="Q41" t="s">
        <v>90</v>
      </c>
      <c r="R41" t="s">
        <v>383</v>
      </c>
      <c r="S41">
        <v>3</v>
      </c>
      <c r="T41">
        <v>0</v>
      </c>
      <c r="U41">
        <v>0</v>
      </c>
      <c r="V41">
        <v>0</v>
      </c>
      <c r="X41" t="s">
        <v>825</v>
      </c>
      <c r="Y41" t="s">
        <v>826</v>
      </c>
      <c r="Z41" t="s">
        <v>88</v>
      </c>
      <c r="AA41" t="s">
        <v>827</v>
      </c>
      <c r="AB41">
        <v>4</v>
      </c>
      <c r="AC41">
        <v>15</v>
      </c>
      <c r="AD41">
        <v>9</v>
      </c>
      <c r="AE41">
        <v>6</v>
      </c>
    </row>
    <row r="42" spans="3:31" x14ac:dyDescent="0.25">
      <c r="F42" t="s">
        <v>256</v>
      </c>
      <c r="G42" t="s">
        <v>90</v>
      </c>
      <c r="H42" t="s">
        <v>259</v>
      </c>
      <c r="I42" t="s">
        <v>260</v>
      </c>
      <c r="J42">
        <v>3</v>
      </c>
      <c r="K42">
        <v>8</v>
      </c>
      <c r="L42">
        <v>7</v>
      </c>
      <c r="M42">
        <v>1</v>
      </c>
      <c r="O42" t="s">
        <v>384</v>
      </c>
      <c r="P42" t="s">
        <v>385</v>
      </c>
      <c r="Q42" t="s">
        <v>90</v>
      </c>
      <c r="R42" t="s">
        <v>386</v>
      </c>
      <c r="S42">
        <v>2</v>
      </c>
      <c r="T42">
        <v>0</v>
      </c>
      <c r="U42">
        <v>0</v>
      </c>
      <c r="V42">
        <v>0</v>
      </c>
      <c r="X42" t="s">
        <v>882</v>
      </c>
      <c r="Y42" t="s">
        <v>883</v>
      </c>
      <c r="Z42" t="s">
        <v>88</v>
      </c>
      <c r="AA42" t="s">
        <v>884</v>
      </c>
      <c r="AB42">
        <v>7</v>
      </c>
      <c r="AC42">
        <v>14</v>
      </c>
      <c r="AD42">
        <v>9</v>
      </c>
      <c r="AE42">
        <v>6</v>
      </c>
    </row>
    <row r="43" spans="3:31" x14ac:dyDescent="0.25">
      <c r="F43" t="s">
        <v>87</v>
      </c>
      <c r="G43" t="s">
        <v>88</v>
      </c>
      <c r="H43" t="s">
        <v>18</v>
      </c>
      <c r="I43" t="s">
        <v>19</v>
      </c>
      <c r="J43">
        <v>1</v>
      </c>
      <c r="K43">
        <v>8</v>
      </c>
      <c r="L43">
        <v>1</v>
      </c>
      <c r="M43">
        <v>2</v>
      </c>
      <c r="O43" t="s">
        <v>387</v>
      </c>
      <c r="P43" t="s">
        <v>388</v>
      </c>
      <c r="Q43" t="s">
        <v>90</v>
      </c>
      <c r="R43" t="s">
        <v>389</v>
      </c>
      <c r="S43">
        <v>2</v>
      </c>
      <c r="T43">
        <v>3</v>
      </c>
      <c r="U43">
        <v>17</v>
      </c>
      <c r="V43">
        <v>1</v>
      </c>
      <c r="X43" t="s">
        <v>804</v>
      </c>
      <c r="Y43" t="s">
        <v>805</v>
      </c>
      <c r="Z43" t="s">
        <v>90</v>
      </c>
      <c r="AA43" t="s">
        <v>806</v>
      </c>
      <c r="AB43">
        <v>2</v>
      </c>
      <c r="AC43">
        <v>13</v>
      </c>
      <c r="AD43">
        <v>11</v>
      </c>
      <c r="AE43">
        <v>7</v>
      </c>
    </row>
    <row r="44" spans="3:31" x14ac:dyDescent="0.25">
      <c r="F44" t="s">
        <v>291</v>
      </c>
      <c r="G44" t="s">
        <v>90</v>
      </c>
      <c r="H44" t="s">
        <v>292</v>
      </c>
      <c r="I44" t="s">
        <v>293</v>
      </c>
      <c r="J44">
        <v>1</v>
      </c>
      <c r="K44">
        <v>8</v>
      </c>
      <c r="L44">
        <v>3</v>
      </c>
      <c r="M44">
        <v>2</v>
      </c>
      <c r="O44" t="s">
        <v>390</v>
      </c>
      <c r="P44" t="s">
        <v>391</v>
      </c>
      <c r="Q44" t="s">
        <v>90</v>
      </c>
      <c r="R44" t="s">
        <v>392</v>
      </c>
      <c r="S44">
        <v>1</v>
      </c>
      <c r="T44">
        <v>2</v>
      </c>
      <c r="U44">
        <v>7</v>
      </c>
      <c r="V44">
        <v>1</v>
      </c>
      <c r="X44" t="s">
        <v>867</v>
      </c>
      <c r="Y44" t="s">
        <v>868</v>
      </c>
      <c r="Z44" t="s">
        <v>90</v>
      </c>
      <c r="AA44" t="s">
        <v>869</v>
      </c>
      <c r="AB44">
        <v>0</v>
      </c>
      <c r="AC44">
        <v>8</v>
      </c>
      <c r="AD44">
        <v>1</v>
      </c>
      <c r="AE44">
        <v>0</v>
      </c>
    </row>
    <row r="45" spans="3:31" x14ac:dyDescent="0.25">
      <c r="F45" t="s">
        <v>276</v>
      </c>
      <c r="G45" t="s">
        <v>90</v>
      </c>
      <c r="H45" t="s">
        <v>277</v>
      </c>
      <c r="I45" t="s">
        <v>278</v>
      </c>
      <c r="J45">
        <v>0</v>
      </c>
      <c r="K45">
        <v>8</v>
      </c>
      <c r="L45">
        <v>11</v>
      </c>
      <c r="M45">
        <v>3</v>
      </c>
      <c r="O45" t="s">
        <v>393</v>
      </c>
      <c r="P45" t="s">
        <v>394</v>
      </c>
      <c r="Q45" t="s">
        <v>90</v>
      </c>
      <c r="R45" t="s">
        <v>395</v>
      </c>
      <c r="S45">
        <v>0</v>
      </c>
      <c r="T45">
        <v>0</v>
      </c>
      <c r="U45">
        <v>1</v>
      </c>
      <c r="V45">
        <v>0</v>
      </c>
      <c r="X45" t="s">
        <v>879</v>
      </c>
      <c r="Y45" t="s">
        <v>880</v>
      </c>
      <c r="Z45" t="s">
        <v>88</v>
      </c>
      <c r="AA45" t="s">
        <v>881</v>
      </c>
      <c r="AB45">
        <v>1</v>
      </c>
      <c r="AC45">
        <v>8</v>
      </c>
      <c r="AD45">
        <v>3</v>
      </c>
      <c r="AE45">
        <v>4</v>
      </c>
    </row>
    <row r="46" spans="3:31" x14ac:dyDescent="0.25">
      <c r="F46" t="s">
        <v>230</v>
      </c>
      <c r="G46" t="s">
        <v>90</v>
      </c>
      <c r="H46" t="s">
        <v>231</v>
      </c>
      <c r="I46" t="s">
        <v>232</v>
      </c>
      <c r="J46">
        <v>7</v>
      </c>
      <c r="K46">
        <v>6</v>
      </c>
      <c r="L46">
        <v>18</v>
      </c>
      <c r="M46">
        <v>1</v>
      </c>
      <c r="O46" t="s">
        <v>396</v>
      </c>
      <c r="P46" t="s">
        <v>397</v>
      </c>
      <c r="Q46" t="s">
        <v>90</v>
      </c>
      <c r="R46" t="s">
        <v>398</v>
      </c>
      <c r="S46">
        <v>0</v>
      </c>
      <c r="T46">
        <v>1</v>
      </c>
      <c r="U46">
        <v>8</v>
      </c>
      <c r="V46">
        <v>1</v>
      </c>
      <c r="X46" t="s">
        <v>912</v>
      </c>
      <c r="Y46" t="s">
        <v>913</v>
      </c>
      <c r="Z46" t="s">
        <v>90</v>
      </c>
      <c r="AA46" t="s">
        <v>914</v>
      </c>
      <c r="AB46">
        <v>0</v>
      </c>
      <c r="AC46">
        <v>8</v>
      </c>
      <c r="AD46">
        <v>9</v>
      </c>
      <c r="AE46">
        <v>0</v>
      </c>
    </row>
    <row r="47" spans="3:31" x14ac:dyDescent="0.25">
      <c r="F47" t="s">
        <v>222</v>
      </c>
      <c r="G47" t="s">
        <v>88</v>
      </c>
      <c r="H47" t="s">
        <v>225</v>
      </c>
      <c r="I47" t="s">
        <v>226</v>
      </c>
      <c r="J47">
        <v>1</v>
      </c>
      <c r="K47">
        <v>6</v>
      </c>
      <c r="L47">
        <v>3</v>
      </c>
      <c r="M47">
        <v>0</v>
      </c>
      <c r="O47" t="s">
        <v>399</v>
      </c>
      <c r="P47" t="s">
        <v>400</v>
      </c>
      <c r="Q47" t="s">
        <v>90</v>
      </c>
      <c r="R47" t="s">
        <v>401</v>
      </c>
      <c r="S47">
        <v>0</v>
      </c>
      <c r="T47">
        <v>1</v>
      </c>
      <c r="U47">
        <v>3</v>
      </c>
      <c r="V47">
        <v>1</v>
      </c>
      <c r="X47" t="s">
        <v>761</v>
      </c>
      <c r="Y47" t="s">
        <v>759</v>
      </c>
      <c r="Z47" t="s">
        <v>90</v>
      </c>
      <c r="AA47" t="s">
        <v>762</v>
      </c>
      <c r="AB47">
        <v>1</v>
      </c>
      <c r="AC47">
        <v>7</v>
      </c>
      <c r="AD47">
        <v>1</v>
      </c>
      <c r="AE47">
        <v>2</v>
      </c>
    </row>
    <row r="48" spans="3:31" x14ac:dyDescent="0.25">
      <c r="F48" t="s">
        <v>233</v>
      </c>
      <c r="G48" t="s">
        <v>90</v>
      </c>
      <c r="H48" t="s">
        <v>234</v>
      </c>
      <c r="I48" t="s">
        <v>235</v>
      </c>
      <c r="J48">
        <v>4</v>
      </c>
      <c r="K48">
        <v>5</v>
      </c>
      <c r="L48">
        <v>10</v>
      </c>
      <c r="M48">
        <v>1</v>
      </c>
      <c r="O48" t="s">
        <v>402</v>
      </c>
      <c r="P48" t="s">
        <v>403</v>
      </c>
      <c r="Q48" t="s">
        <v>90</v>
      </c>
      <c r="R48" t="s">
        <v>404</v>
      </c>
      <c r="S48">
        <v>21</v>
      </c>
      <c r="T48">
        <v>0</v>
      </c>
      <c r="U48">
        <v>0</v>
      </c>
      <c r="V48">
        <v>0</v>
      </c>
      <c r="X48" t="s">
        <v>784</v>
      </c>
      <c r="Y48" t="s">
        <v>785</v>
      </c>
      <c r="Z48" t="s">
        <v>88</v>
      </c>
      <c r="AA48" t="s">
        <v>786</v>
      </c>
      <c r="AB48">
        <v>1</v>
      </c>
      <c r="AC48">
        <v>7</v>
      </c>
      <c r="AD48">
        <v>3</v>
      </c>
      <c r="AE48">
        <v>1</v>
      </c>
    </row>
    <row r="49" spans="6:31" x14ac:dyDescent="0.25">
      <c r="F49" t="s">
        <v>216</v>
      </c>
      <c r="G49" t="s">
        <v>88</v>
      </c>
      <c r="H49" t="s">
        <v>217</v>
      </c>
      <c r="I49" t="s">
        <v>218</v>
      </c>
      <c r="J49">
        <v>1</v>
      </c>
      <c r="K49">
        <v>5</v>
      </c>
      <c r="L49">
        <v>3</v>
      </c>
      <c r="M49">
        <v>2</v>
      </c>
      <c r="O49" t="s">
        <v>405</v>
      </c>
      <c r="P49" t="s">
        <v>406</v>
      </c>
      <c r="Q49" t="s">
        <v>90</v>
      </c>
      <c r="R49" t="s">
        <v>407</v>
      </c>
      <c r="S49">
        <v>3</v>
      </c>
      <c r="T49">
        <v>0</v>
      </c>
      <c r="U49">
        <v>0</v>
      </c>
      <c r="V49">
        <v>0</v>
      </c>
      <c r="X49" t="s">
        <v>819</v>
      </c>
      <c r="Y49" t="s">
        <v>820</v>
      </c>
      <c r="Z49" t="s">
        <v>90</v>
      </c>
      <c r="AA49" t="s">
        <v>821</v>
      </c>
      <c r="AB49">
        <v>1</v>
      </c>
      <c r="AC49">
        <v>7</v>
      </c>
      <c r="AD49">
        <v>3</v>
      </c>
      <c r="AE49">
        <v>1</v>
      </c>
    </row>
    <row r="50" spans="6:31" x14ac:dyDescent="0.25">
      <c r="F50" t="s">
        <v>353</v>
      </c>
      <c r="G50" t="s">
        <v>90</v>
      </c>
      <c r="H50" t="s">
        <v>354</v>
      </c>
      <c r="I50" t="s">
        <v>355</v>
      </c>
      <c r="J50">
        <v>1</v>
      </c>
      <c r="K50">
        <v>5</v>
      </c>
      <c r="L50">
        <v>4</v>
      </c>
      <c r="M50">
        <v>1</v>
      </c>
      <c r="O50" t="s">
        <v>408</v>
      </c>
      <c r="P50" t="s">
        <v>409</v>
      </c>
      <c r="Q50" t="s">
        <v>90</v>
      </c>
      <c r="R50" t="s">
        <v>410</v>
      </c>
      <c r="S50">
        <v>1</v>
      </c>
      <c r="T50">
        <v>0</v>
      </c>
      <c r="U50">
        <v>0</v>
      </c>
      <c r="V50">
        <v>0</v>
      </c>
      <c r="X50" t="s">
        <v>849</v>
      </c>
      <c r="Y50" t="s">
        <v>850</v>
      </c>
      <c r="Z50" t="s">
        <v>90</v>
      </c>
      <c r="AA50" t="s">
        <v>851</v>
      </c>
      <c r="AB50">
        <v>0</v>
      </c>
      <c r="AC50">
        <v>7</v>
      </c>
      <c r="AD50">
        <v>3</v>
      </c>
      <c r="AE50">
        <v>1</v>
      </c>
    </row>
    <row r="51" spans="6:31" x14ac:dyDescent="0.25">
      <c r="F51" t="s">
        <v>123</v>
      </c>
      <c r="G51" t="s">
        <v>88</v>
      </c>
      <c r="H51" t="s">
        <v>124</v>
      </c>
      <c r="I51" t="s">
        <v>125</v>
      </c>
      <c r="J51">
        <v>0</v>
      </c>
      <c r="K51">
        <v>5</v>
      </c>
      <c r="L51">
        <v>1</v>
      </c>
      <c r="M51">
        <v>0</v>
      </c>
      <c r="O51" t="s">
        <v>411</v>
      </c>
      <c r="P51" t="s">
        <v>412</v>
      </c>
      <c r="Q51" t="s">
        <v>90</v>
      </c>
      <c r="R51" t="s">
        <v>413</v>
      </c>
      <c r="S51">
        <v>2</v>
      </c>
      <c r="T51">
        <v>0</v>
      </c>
      <c r="U51">
        <v>0</v>
      </c>
      <c r="V51">
        <v>0</v>
      </c>
      <c r="X51" t="s">
        <v>927</v>
      </c>
      <c r="Y51" t="s">
        <v>928</v>
      </c>
      <c r="Z51" t="s">
        <v>90</v>
      </c>
      <c r="AA51" t="s">
        <v>929</v>
      </c>
      <c r="AB51">
        <v>0</v>
      </c>
      <c r="AC51">
        <v>7</v>
      </c>
      <c r="AD51">
        <v>1</v>
      </c>
      <c r="AE51">
        <v>0</v>
      </c>
    </row>
    <row r="52" spans="6:31" x14ac:dyDescent="0.25">
      <c r="F52" t="s">
        <v>187</v>
      </c>
      <c r="G52" t="s">
        <v>88</v>
      </c>
      <c r="H52" t="s">
        <v>190</v>
      </c>
      <c r="I52" t="s">
        <v>191</v>
      </c>
      <c r="J52">
        <v>2</v>
      </c>
      <c r="K52">
        <v>4</v>
      </c>
      <c r="L52">
        <v>4</v>
      </c>
      <c r="M52">
        <v>1</v>
      </c>
      <c r="O52" t="s">
        <v>414</v>
      </c>
      <c r="P52" t="s">
        <v>415</v>
      </c>
      <c r="Q52" t="s">
        <v>90</v>
      </c>
      <c r="R52" t="s">
        <v>416</v>
      </c>
      <c r="S52">
        <v>2</v>
      </c>
      <c r="T52">
        <v>0</v>
      </c>
      <c r="U52">
        <v>0</v>
      </c>
      <c r="V52">
        <v>0</v>
      </c>
      <c r="X52" t="s">
        <v>751</v>
      </c>
      <c r="Y52" t="s">
        <v>749</v>
      </c>
      <c r="Z52" t="s">
        <v>90</v>
      </c>
      <c r="AA52" t="s">
        <v>752</v>
      </c>
      <c r="AB52">
        <v>1</v>
      </c>
      <c r="AC52">
        <v>6</v>
      </c>
      <c r="AD52">
        <v>2</v>
      </c>
      <c r="AE52">
        <v>0</v>
      </c>
    </row>
    <row r="53" spans="6:31" x14ac:dyDescent="0.25">
      <c r="F53" t="s">
        <v>150</v>
      </c>
      <c r="G53" t="s">
        <v>88</v>
      </c>
      <c r="H53" t="s">
        <v>151</v>
      </c>
      <c r="I53" t="s">
        <v>152</v>
      </c>
      <c r="J53">
        <v>0</v>
      </c>
      <c r="K53">
        <v>4</v>
      </c>
      <c r="L53">
        <v>1</v>
      </c>
      <c r="M53">
        <v>0</v>
      </c>
      <c r="O53" t="s">
        <v>417</v>
      </c>
      <c r="P53" t="s">
        <v>418</v>
      </c>
      <c r="Q53" t="s">
        <v>90</v>
      </c>
      <c r="R53" t="s">
        <v>419</v>
      </c>
      <c r="S53">
        <v>2</v>
      </c>
      <c r="T53">
        <v>0</v>
      </c>
      <c r="U53">
        <v>0</v>
      </c>
      <c r="V53">
        <v>0</v>
      </c>
      <c r="X53" t="s">
        <v>772</v>
      </c>
      <c r="Y53" t="s">
        <v>773</v>
      </c>
      <c r="Z53" t="s">
        <v>90</v>
      </c>
      <c r="AA53" t="s">
        <v>774</v>
      </c>
      <c r="AB53">
        <v>1</v>
      </c>
      <c r="AC53">
        <v>6</v>
      </c>
      <c r="AD53">
        <v>1</v>
      </c>
      <c r="AE53">
        <v>0</v>
      </c>
    </row>
    <row r="54" spans="6:31" x14ac:dyDescent="0.25">
      <c r="F54" t="s">
        <v>344</v>
      </c>
      <c r="G54" t="s">
        <v>90</v>
      </c>
      <c r="H54" t="s">
        <v>345</v>
      </c>
      <c r="I54" t="s">
        <v>346</v>
      </c>
      <c r="J54">
        <v>0</v>
      </c>
      <c r="K54">
        <v>4</v>
      </c>
      <c r="L54">
        <v>1</v>
      </c>
      <c r="M54">
        <v>0</v>
      </c>
      <c r="O54" t="s">
        <v>420</v>
      </c>
      <c r="P54" t="s">
        <v>421</v>
      </c>
      <c r="Q54" t="s">
        <v>90</v>
      </c>
      <c r="R54" t="s">
        <v>422</v>
      </c>
      <c r="S54">
        <v>0</v>
      </c>
      <c r="T54">
        <v>2</v>
      </c>
      <c r="U54">
        <v>1</v>
      </c>
      <c r="V54">
        <v>0</v>
      </c>
      <c r="X54" t="s">
        <v>790</v>
      </c>
      <c r="Y54" t="s">
        <v>791</v>
      </c>
      <c r="Z54" t="s">
        <v>90</v>
      </c>
      <c r="AA54" t="s">
        <v>792</v>
      </c>
      <c r="AB54">
        <v>1</v>
      </c>
      <c r="AC54">
        <v>6</v>
      </c>
      <c r="AD54">
        <v>1</v>
      </c>
      <c r="AE54">
        <v>0</v>
      </c>
    </row>
    <row r="55" spans="6:31" x14ac:dyDescent="0.25">
      <c r="F55" t="s">
        <v>126</v>
      </c>
      <c r="G55" t="s">
        <v>88</v>
      </c>
      <c r="H55" t="s">
        <v>127</v>
      </c>
      <c r="I55" t="s">
        <v>128</v>
      </c>
      <c r="J55">
        <v>2</v>
      </c>
      <c r="K55">
        <v>3</v>
      </c>
      <c r="L55">
        <v>3</v>
      </c>
      <c r="M55">
        <v>0</v>
      </c>
      <c r="O55" t="s">
        <v>423</v>
      </c>
      <c r="P55" t="s">
        <v>424</v>
      </c>
      <c r="Q55" t="s">
        <v>90</v>
      </c>
      <c r="R55" t="s">
        <v>425</v>
      </c>
      <c r="S55">
        <v>0</v>
      </c>
      <c r="T55">
        <v>0</v>
      </c>
      <c r="U55">
        <v>0</v>
      </c>
      <c r="V55">
        <v>0</v>
      </c>
      <c r="X55" t="s">
        <v>813</v>
      </c>
      <c r="Y55" t="s">
        <v>814</v>
      </c>
      <c r="Z55" t="s">
        <v>90</v>
      </c>
      <c r="AA55" t="s">
        <v>815</v>
      </c>
      <c r="AB55">
        <v>0</v>
      </c>
      <c r="AC55">
        <v>6</v>
      </c>
      <c r="AD55">
        <v>1</v>
      </c>
      <c r="AE55">
        <v>0</v>
      </c>
    </row>
    <row r="56" spans="6:31" x14ac:dyDescent="0.25">
      <c r="F56" t="s">
        <v>329</v>
      </c>
      <c r="G56" t="s">
        <v>90</v>
      </c>
      <c r="H56" t="s">
        <v>330</v>
      </c>
      <c r="I56" t="s">
        <v>331</v>
      </c>
      <c r="J56">
        <v>9</v>
      </c>
      <c r="K56">
        <v>2</v>
      </c>
      <c r="L56">
        <v>29</v>
      </c>
      <c r="M56">
        <v>0</v>
      </c>
      <c r="O56" t="s">
        <v>426</v>
      </c>
      <c r="P56" t="s">
        <v>427</v>
      </c>
      <c r="Q56" t="s">
        <v>90</v>
      </c>
      <c r="R56" t="s">
        <v>428</v>
      </c>
      <c r="S56">
        <v>2</v>
      </c>
      <c r="T56">
        <v>4</v>
      </c>
      <c r="U56">
        <v>6</v>
      </c>
      <c r="V56">
        <v>2</v>
      </c>
      <c r="X56" t="s">
        <v>822</v>
      </c>
      <c r="Y56" t="s">
        <v>823</v>
      </c>
      <c r="Z56" t="s">
        <v>90</v>
      </c>
      <c r="AA56" t="s">
        <v>824</v>
      </c>
      <c r="AB56">
        <v>1</v>
      </c>
      <c r="AC56">
        <v>5</v>
      </c>
      <c r="AD56">
        <v>5</v>
      </c>
      <c r="AE56">
        <v>0</v>
      </c>
    </row>
    <row r="57" spans="6:31" x14ac:dyDescent="0.25">
      <c r="F57" t="s">
        <v>326</v>
      </c>
      <c r="G57" t="s">
        <v>90</v>
      </c>
      <c r="H57" t="s">
        <v>327</v>
      </c>
      <c r="I57" t="s">
        <v>328</v>
      </c>
      <c r="J57">
        <v>6</v>
      </c>
      <c r="K57">
        <v>2</v>
      </c>
      <c r="L57">
        <v>21</v>
      </c>
      <c r="M57">
        <v>0</v>
      </c>
      <c r="O57" t="s">
        <v>429</v>
      </c>
      <c r="P57" t="s">
        <v>430</v>
      </c>
      <c r="Q57" t="s">
        <v>90</v>
      </c>
      <c r="R57" t="s">
        <v>431</v>
      </c>
      <c r="S57">
        <v>7</v>
      </c>
      <c r="T57">
        <v>67</v>
      </c>
      <c r="U57">
        <v>12</v>
      </c>
      <c r="V57">
        <v>16</v>
      </c>
      <c r="X57" t="s">
        <v>864</v>
      </c>
      <c r="Y57" t="s">
        <v>865</v>
      </c>
      <c r="Z57" t="s">
        <v>90</v>
      </c>
      <c r="AA57" t="s">
        <v>866</v>
      </c>
      <c r="AB57">
        <v>0</v>
      </c>
      <c r="AC57">
        <v>5</v>
      </c>
      <c r="AD57">
        <v>0</v>
      </c>
      <c r="AE57">
        <v>0</v>
      </c>
    </row>
    <row r="58" spans="6:31" x14ac:dyDescent="0.25">
      <c r="F58" t="s">
        <v>144</v>
      </c>
      <c r="G58" t="s">
        <v>88</v>
      </c>
      <c r="H58" t="s">
        <v>145</v>
      </c>
      <c r="I58" t="s">
        <v>146</v>
      </c>
      <c r="J58">
        <v>0</v>
      </c>
      <c r="K58">
        <v>2</v>
      </c>
      <c r="L58">
        <v>1</v>
      </c>
      <c r="M58">
        <v>0</v>
      </c>
      <c r="O58" t="s">
        <v>432</v>
      </c>
      <c r="P58" t="s">
        <v>433</v>
      </c>
      <c r="Q58" t="s">
        <v>90</v>
      </c>
      <c r="R58" t="s">
        <v>434</v>
      </c>
      <c r="S58">
        <v>2</v>
      </c>
      <c r="T58">
        <v>0</v>
      </c>
      <c r="U58">
        <v>0</v>
      </c>
      <c r="V58">
        <v>0</v>
      </c>
      <c r="X58" t="s">
        <v>894</v>
      </c>
      <c r="Y58" t="s">
        <v>895</v>
      </c>
      <c r="Z58" t="s">
        <v>90</v>
      </c>
      <c r="AA58" t="s">
        <v>896</v>
      </c>
      <c r="AB58">
        <v>1</v>
      </c>
      <c r="AC58">
        <v>5</v>
      </c>
      <c r="AD58">
        <v>0</v>
      </c>
      <c r="AE58">
        <v>2</v>
      </c>
    </row>
    <row r="59" spans="6:31" x14ac:dyDescent="0.25">
      <c r="F59" t="s">
        <v>195</v>
      </c>
      <c r="G59" t="s">
        <v>90</v>
      </c>
      <c r="H59" t="s">
        <v>196</v>
      </c>
      <c r="I59" t="s">
        <v>197</v>
      </c>
      <c r="J59">
        <v>0</v>
      </c>
      <c r="K59">
        <v>2</v>
      </c>
      <c r="L59">
        <v>0</v>
      </c>
      <c r="M59">
        <v>0</v>
      </c>
      <c r="O59" t="s">
        <v>435</v>
      </c>
      <c r="P59" t="s">
        <v>436</v>
      </c>
      <c r="Q59" t="s">
        <v>90</v>
      </c>
      <c r="R59" t="s">
        <v>437</v>
      </c>
      <c r="S59">
        <v>2</v>
      </c>
      <c r="T59">
        <v>0</v>
      </c>
      <c r="U59">
        <v>0</v>
      </c>
      <c r="V59">
        <v>0</v>
      </c>
      <c r="X59" t="s">
        <v>831</v>
      </c>
      <c r="Y59" t="s">
        <v>832</v>
      </c>
      <c r="Z59" t="s">
        <v>88</v>
      </c>
      <c r="AA59" t="s">
        <v>833</v>
      </c>
      <c r="AB59">
        <v>0</v>
      </c>
      <c r="AC59">
        <v>4</v>
      </c>
      <c r="AD59">
        <v>1</v>
      </c>
      <c r="AE59">
        <v>0</v>
      </c>
    </row>
    <row r="60" spans="6:31" x14ac:dyDescent="0.25">
      <c r="F60" t="s">
        <v>308</v>
      </c>
      <c r="G60" t="s">
        <v>90</v>
      </c>
      <c r="H60" t="s">
        <v>309</v>
      </c>
      <c r="I60" t="s">
        <v>310</v>
      </c>
      <c r="J60">
        <v>0</v>
      </c>
      <c r="K60">
        <v>2</v>
      </c>
      <c r="L60">
        <v>0</v>
      </c>
      <c r="M60">
        <v>0</v>
      </c>
      <c r="O60" t="s">
        <v>438</v>
      </c>
      <c r="P60" t="s">
        <v>439</v>
      </c>
      <c r="Q60" t="s">
        <v>90</v>
      </c>
      <c r="R60" t="s">
        <v>440</v>
      </c>
      <c r="S60">
        <v>3</v>
      </c>
      <c r="T60">
        <v>0</v>
      </c>
      <c r="U60">
        <v>0</v>
      </c>
      <c r="V60">
        <v>0</v>
      </c>
      <c r="X60" t="s">
        <v>861</v>
      </c>
      <c r="Y60" t="s">
        <v>862</v>
      </c>
      <c r="Z60" t="s">
        <v>90</v>
      </c>
      <c r="AA60" t="s">
        <v>863</v>
      </c>
      <c r="AB60">
        <v>0</v>
      </c>
      <c r="AC60">
        <v>4</v>
      </c>
      <c r="AD60">
        <v>0</v>
      </c>
      <c r="AE60">
        <v>1</v>
      </c>
    </row>
    <row r="61" spans="6:31" x14ac:dyDescent="0.25">
      <c r="F61" t="s">
        <v>132</v>
      </c>
      <c r="G61" t="s">
        <v>88</v>
      </c>
      <c r="H61" t="s">
        <v>133</v>
      </c>
      <c r="I61" t="s">
        <v>134</v>
      </c>
      <c r="J61">
        <v>1</v>
      </c>
      <c r="K61">
        <v>1</v>
      </c>
      <c r="L61">
        <v>1</v>
      </c>
      <c r="M61">
        <v>2</v>
      </c>
      <c r="O61" t="s">
        <v>441</v>
      </c>
      <c r="P61" t="s">
        <v>442</v>
      </c>
      <c r="Q61" t="s">
        <v>90</v>
      </c>
      <c r="R61" t="s">
        <v>443</v>
      </c>
      <c r="S61">
        <v>2</v>
      </c>
      <c r="T61">
        <v>0</v>
      </c>
      <c r="U61">
        <v>0</v>
      </c>
      <c r="V61">
        <v>0</v>
      </c>
      <c r="X61" t="s">
        <v>939</v>
      </c>
      <c r="Y61" t="s">
        <v>940</v>
      </c>
      <c r="Z61" t="s">
        <v>90</v>
      </c>
      <c r="AA61" t="s">
        <v>941</v>
      </c>
      <c r="AB61">
        <v>0</v>
      </c>
      <c r="AC61">
        <v>4</v>
      </c>
      <c r="AD61">
        <v>2</v>
      </c>
      <c r="AE61">
        <v>1</v>
      </c>
    </row>
    <row r="62" spans="6:31" x14ac:dyDescent="0.25">
      <c r="F62" t="s">
        <v>141</v>
      </c>
      <c r="G62" t="s">
        <v>88</v>
      </c>
      <c r="H62" t="s">
        <v>142</v>
      </c>
      <c r="I62" t="s">
        <v>143</v>
      </c>
      <c r="J62">
        <v>1</v>
      </c>
      <c r="K62">
        <v>1</v>
      </c>
      <c r="L62">
        <v>3</v>
      </c>
      <c r="M62">
        <v>0</v>
      </c>
      <c r="O62" t="s">
        <v>444</v>
      </c>
      <c r="P62" t="s">
        <v>445</v>
      </c>
      <c r="Q62" t="s">
        <v>90</v>
      </c>
      <c r="R62" t="s">
        <v>446</v>
      </c>
      <c r="S62">
        <v>2</v>
      </c>
      <c r="T62">
        <v>0</v>
      </c>
      <c r="U62">
        <v>0</v>
      </c>
      <c r="V62">
        <v>0</v>
      </c>
      <c r="X62" t="s">
        <v>748</v>
      </c>
      <c r="Y62" t="s">
        <v>749</v>
      </c>
      <c r="Z62" t="s">
        <v>90</v>
      </c>
      <c r="AA62" t="s">
        <v>750</v>
      </c>
      <c r="AB62">
        <v>0</v>
      </c>
      <c r="AC62">
        <v>3</v>
      </c>
      <c r="AD62">
        <v>0</v>
      </c>
      <c r="AE62">
        <v>0</v>
      </c>
    </row>
    <row r="63" spans="6:31" x14ac:dyDescent="0.25">
      <c r="F63" t="s">
        <v>129</v>
      </c>
      <c r="G63" t="s">
        <v>88</v>
      </c>
      <c r="H63" t="s">
        <v>130</v>
      </c>
      <c r="I63" t="s">
        <v>131</v>
      </c>
      <c r="J63">
        <v>0</v>
      </c>
      <c r="K63">
        <v>1</v>
      </c>
      <c r="L63">
        <v>1</v>
      </c>
      <c r="M63">
        <v>0</v>
      </c>
      <c r="O63" t="s">
        <v>447</v>
      </c>
      <c r="P63" t="s">
        <v>448</v>
      </c>
      <c r="Q63" t="s">
        <v>90</v>
      </c>
      <c r="R63" t="s">
        <v>449</v>
      </c>
      <c r="S63">
        <v>1</v>
      </c>
      <c r="T63">
        <v>0</v>
      </c>
      <c r="U63">
        <v>0</v>
      </c>
      <c r="V63">
        <v>0</v>
      </c>
      <c r="X63" t="s">
        <v>763</v>
      </c>
      <c r="Y63" t="s">
        <v>764</v>
      </c>
      <c r="Z63" t="s">
        <v>90</v>
      </c>
      <c r="AA63" t="s">
        <v>765</v>
      </c>
      <c r="AB63">
        <v>1</v>
      </c>
      <c r="AC63">
        <v>3</v>
      </c>
      <c r="AD63">
        <v>2</v>
      </c>
      <c r="AE63">
        <v>2</v>
      </c>
    </row>
    <row r="64" spans="6:31" x14ac:dyDescent="0.25">
      <c r="F64" t="s">
        <v>135</v>
      </c>
      <c r="G64" t="s">
        <v>88</v>
      </c>
      <c r="H64" t="s">
        <v>136</v>
      </c>
      <c r="I64" t="s">
        <v>137</v>
      </c>
      <c r="J64">
        <v>0</v>
      </c>
      <c r="K64">
        <v>1</v>
      </c>
      <c r="L64">
        <v>1</v>
      </c>
      <c r="M64">
        <v>0</v>
      </c>
      <c r="O64" t="s">
        <v>450</v>
      </c>
      <c r="P64" t="s">
        <v>451</v>
      </c>
      <c r="Q64" t="s">
        <v>90</v>
      </c>
      <c r="R64" t="s">
        <v>452</v>
      </c>
      <c r="S64">
        <v>2</v>
      </c>
      <c r="T64">
        <v>0</v>
      </c>
      <c r="U64">
        <v>0</v>
      </c>
      <c r="V64">
        <v>0</v>
      </c>
      <c r="X64" t="s">
        <v>816</v>
      </c>
      <c r="Y64" t="s">
        <v>817</v>
      </c>
      <c r="Z64" t="s">
        <v>90</v>
      </c>
      <c r="AA64" t="s">
        <v>818</v>
      </c>
      <c r="AB64">
        <v>0</v>
      </c>
      <c r="AC64">
        <v>3</v>
      </c>
      <c r="AD64">
        <v>0</v>
      </c>
      <c r="AE64">
        <v>0</v>
      </c>
    </row>
    <row r="65" spans="6:31" x14ac:dyDescent="0.25">
      <c r="F65" t="s">
        <v>187</v>
      </c>
      <c r="G65" t="s">
        <v>88</v>
      </c>
      <c r="H65" t="s">
        <v>188</v>
      </c>
      <c r="I65" t="s">
        <v>189</v>
      </c>
      <c r="J65">
        <v>0</v>
      </c>
      <c r="K65">
        <v>1</v>
      </c>
      <c r="L65">
        <v>0</v>
      </c>
      <c r="M65">
        <v>0</v>
      </c>
      <c r="O65" t="s">
        <v>453</v>
      </c>
      <c r="P65" t="s">
        <v>454</v>
      </c>
      <c r="Q65" t="s">
        <v>90</v>
      </c>
      <c r="R65" t="s">
        <v>455</v>
      </c>
      <c r="S65">
        <v>3</v>
      </c>
      <c r="T65">
        <v>0</v>
      </c>
      <c r="U65">
        <v>0</v>
      </c>
      <c r="V65">
        <v>0</v>
      </c>
      <c r="X65" t="s">
        <v>834</v>
      </c>
      <c r="Y65" t="s">
        <v>835</v>
      </c>
      <c r="Z65" t="s">
        <v>88</v>
      </c>
      <c r="AA65" t="s">
        <v>836</v>
      </c>
      <c r="AB65">
        <v>1</v>
      </c>
      <c r="AC65">
        <v>3</v>
      </c>
      <c r="AD65">
        <v>2</v>
      </c>
      <c r="AE65">
        <v>1</v>
      </c>
    </row>
    <row r="66" spans="6:31" x14ac:dyDescent="0.25">
      <c r="F66" t="s">
        <v>222</v>
      </c>
      <c r="G66" t="s">
        <v>88</v>
      </c>
      <c r="H66" t="s">
        <v>223</v>
      </c>
      <c r="I66" t="s">
        <v>224</v>
      </c>
      <c r="J66">
        <v>0</v>
      </c>
      <c r="K66">
        <v>1</v>
      </c>
      <c r="L66">
        <v>1</v>
      </c>
      <c r="M66">
        <v>0</v>
      </c>
      <c r="O66" t="s">
        <v>456</v>
      </c>
      <c r="P66" t="s">
        <v>457</v>
      </c>
      <c r="Q66" t="s">
        <v>90</v>
      </c>
      <c r="R66" t="s">
        <v>458</v>
      </c>
      <c r="S66">
        <v>2</v>
      </c>
      <c r="T66">
        <v>0</v>
      </c>
      <c r="U66">
        <v>0</v>
      </c>
      <c r="V66">
        <v>0</v>
      </c>
      <c r="X66" t="s">
        <v>873</v>
      </c>
      <c r="Y66" t="s">
        <v>874</v>
      </c>
      <c r="Z66" t="s">
        <v>88</v>
      </c>
      <c r="AA66" t="s">
        <v>875</v>
      </c>
      <c r="AB66">
        <v>0</v>
      </c>
      <c r="AC66">
        <v>3</v>
      </c>
      <c r="AD66">
        <v>0</v>
      </c>
      <c r="AE66">
        <v>0</v>
      </c>
    </row>
    <row r="67" spans="6:31" x14ac:dyDescent="0.25">
      <c r="F67" t="s">
        <v>317</v>
      </c>
      <c r="G67" t="s">
        <v>90</v>
      </c>
      <c r="H67" t="s">
        <v>318</v>
      </c>
      <c r="I67" t="s">
        <v>319</v>
      </c>
      <c r="J67">
        <v>0</v>
      </c>
      <c r="K67">
        <v>1</v>
      </c>
      <c r="L67">
        <v>0</v>
      </c>
      <c r="M67">
        <v>0</v>
      </c>
      <c r="O67" t="s">
        <v>459</v>
      </c>
      <c r="P67" t="s">
        <v>460</v>
      </c>
      <c r="Q67" t="s">
        <v>90</v>
      </c>
      <c r="R67" t="s">
        <v>461</v>
      </c>
      <c r="S67">
        <v>3</v>
      </c>
      <c r="T67">
        <v>0</v>
      </c>
      <c r="U67">
        <v>0</v>
      </c>
      <c r="V67">
        <v>0</v>
      </c>
      <c r="X67" t="s">
        <v>756</v>
      </c>
      <c r="Y67" t="s">
        <v>754</v>
      </c>
      <c r="Z67" t="s">
        <v>90</v>
      </c>
      <c r="AA67" t="s">
        <v>757</v>
      </c>
      <c r="AB67">
        <v>1</v>
      </c>
      <c r="AC67">
        <v>2</v>
      </c>
      <c r="AD67">
        <v>1</v>
      </c>
      <c r="AE67">
        <v>2</v>
      </c>
    </row>
    <row r="68" spans="6:31" x14ac:dyDescent="0.25">
      <c r="F68" t="s">
        <v>332</v>
      </c>
      <c r="G68" t="s">
        <v>90</v>
      </c>
      <c r="H68" t="s">
        <v>333</v>
      </c>
      <c r="I68" t="s">
        <v>334</v>
      </c>
      <c r="J68">
        <v>0</v>
      </c>
      <c r="K68">
        <v>1</v>
      </c>
      <c r="L68">
        <v>2</v>
      </c>
      <c r="M68">
        <v>0</v>
      </c>
      <c r="O68" t="s">
        <v>462</v>
      </c>
      <c r="P68" t="s">
        <v>463</v>
      </c>
      <c r="Q68" t="s">
        <v>90</v>
      </c>
      <c r="R68" t="s">
        <v>464</v>
      </c>
      <c r="S68">
        <v>2</v>
      </c>
      <c r="T68">
        <v>6</v>
      </c>
      <c r="U68">
        <v>9</v>
      </c>
      <c r="V68">
        <v>4</v>
      </c>
      <c r="X68" t="s">
        <v>758</v>
      </c>
      <c r="Y68" t="s">
        <v>759</v>
      </c>
      <c r="Z68" t="s">
        <v>90</v>
      </c>
      <c r="AA68" t="s">
        <v>760</v>
      </c>
      <c r="AB68">
        <v>0</v>
      </c>
      <c r="AC68">
        <v>2</v>
      </c>
      <c r="AD68">
        <v>1</v>
      </c>
      <c r="AE68">
        <v>0</v>
      </c>
    </row>
    <row r="69" spans="6:31" x14ac:dyDescent="0.25">
      <c r="F69" t="s">
        <v>338</v>
      </c>
      <c r="G69" t="s">
        <v>90</v>
      </c>
      <c r="H69" t="s">
        <v>339</v>
      </c>
      <c r="I69" t="s">
        <v>340</v>
      </c>
      <c r="J69">
        <v>0</v>
      </c>
      <c r="K69">
        <v>1</v>
      </c>
      <c r="L69">
        <v>0</v>
      </c>
      <c r="M69">
        <v>0</v>
      </c>
      <c r="O69" t="s">
        <v>465</v>
      </c>
      <c r="P69" t="s">
        <v>466</v>
      </c>
      <c r="Q69" t="s">
        <v>90</v>
      </c>
      <c r="R69" t="s">
        <v>467</v>
      </c>
      <c r="S69">
        <v>1</v>
      </c>
      <c r="T69">
        <v>12</v>
      </c>
      <c r="U69">
        <v>3</v>
      </c>
      <c r="V69">
        <v>3</v>
      </c>
      <c r="X69" t="s">
        <v>846</v>
      </c>
      <c r="Y69" t="s">
        <v>847</v>
      </c>
      <c r="Z69" t="s">
        <v>88</v>
      </c>
      <c r="AA69" t="s">
        <v>848</v>
      </c>
      <c r="AB69">
        <v>0</v>
      </c>
      <c r="AC69">
        <v>2</v>
      </c>
      <c r="AD69">
        <v>1</v>
      </c>
      <c r="AE69">
        <v>0</v>
      </c>
    </row>
    <row r="70" spans="6:31" x14ac:dyDescent="0.25">
      <c r="F70" t="s">
        <v>341</v>
      </c>
      <c r="G70" t="s">
        <v>90</v>
      </c>
      <c r="H70" t="s">
        <v>342</v>
      </c>
      <c r="I70" t="s">
        <v>343</v>
      </c>
      <c r="J70">
        <v>0</v>
      </c>
      <c r="K70">
        <v>1</v>
      </c>
      <c r="L70">
        <v>0</v>
      </c>
      <c r="M70">
        <v>0</v>
      </c>
      <c r="O70" t="s">
        <v>468</v>
      </c>
      <c r="P70" t="s">
        <v>469</v>
      </c>
      <c r="Q70" t="s">
        <v>90</v>
      </c>
      <c r="R70" t="s">
        <v>470</v>
      </c>
      <c r="S70">
        <v>2</v>
      </c>
      <c r="T70">
        <v>29</v>
      </c>
      <c r="U70">
        <v>5</v>
      </c>
      <c r="V70">
        <v>9</v>
      </c>
      <c r="X70" t="s">
        <v>876</v>
      </c>
      <c r="Y70" t="s">
        <v>877</v>
      </c>
      <c r="Z70" t="s">
        <v>88</v>
      </c>
      <c r="AA70" t="s">
        <v>878</v>
      </c>
      <c r="AB70">
        <v>1</v>
      </c>
      <c r="AC70">
        <v>2</v>
      </c>
      <c r="AD70">
        <v>1</v>
      </c>
      <c r="AE70">
        <v>0</v>
      </c>
    </row>
    <row r="71" spans="6:31" x14ac:dyDescent="0.25">
      <c r="F71" t="s">
        <v>175</v>
      </c>
      <c r="G71" t="s">
        <v>90</v>
      </c>
      <c r="H71" t="s">
        <v>176</v>
      </c>
      <c r="I71" t="s">
        <v>177</v>
      </c>
      <c r="J71">
        <v>252</v>
      </c>
      <c r="K71">
        <v>0</v>
      </c>
      <c r="L71">
        <v>0</v>
      </c>
      <c r="M71">
        <v>0</v>
      </c>
      <c r="O71" t="s">
        <v>471</v>
      </c>
      <c r="P71" t="s">
        <v>472</v>
      </c>
      <c r="Q71" t="s">
        <v>88</v>
      </c>
      <c r="R71" t="s">
        <v>473</v>
      </c>
      <c r="S71">
        <v>1</v>
      </c>
      <c r="T71">
        <v>4</v>
      </c>
      <c r="U71">
        <v>0</v>
      </c>
      <c r="V71">
        <v>2</v>
      </c>
      <c r="X71" t="s">
        <v>753</v>
      </c>
      <c r="Y71" t="s">
        <v>754</v>
      </c>
      <c r="Z71" t="s">
        <v>90</v>
      </c>
      <c r="AA71" t="s">
        <v>755</v>
      </c>
      <c r="AB71">
        <v>0</v>
      </c>
      <c r="AC71">
        <v>1</v>
      </c>
      <c r="AD71">
        <v>1</v>
      </c>
      <c r="AE71">
        <v>0</v>
      </c>
    </row>
    <row r="72" spans="6:31" x14ac:dyDescent="0.25">
      <c r="F72" t="s">
        <v>267</v>
      </c>
      <c r="G72" t="s">
        <v>90</v>
      </c>
      <c r="H72" t="s">
        <v>268</v>
      </c>
      <c r="I72" t="s">
        <v>269</v>
      </c>
      <c r="J72">
        <v>73</v>
      </c>
      <c r="K72">
        <v>0</v>
      </c>
      <c r="L72">
        <v>0</v>
      </c>
      <c r="M72">
        <v>0</v>
      </c>
      <c r="O72" t="s">
        <v>474</v>
      </c>
      <c r="P72" t="s">
        <v>475</v>
      </c>
      <c r="Q72" t="s">
        <v>90</v>
      </c>
      <c r="R72" t="s">
        <v>476</v>
      </c>
      <c r="S72">
        <v>2</v>
      </c>
      <c r="T72">
        <v>24</v>
      </c>
      <c r="U72">
        <v>9</v>
      </c>
      <c r="V72">
        <v>2</v>
      </c>
      <c r="X72" t="s">
        <v>766</v>
      </c>
      <c r="Y72" t="s">
        <v>767</v>
      </c>
      <c r="Z72" t="s">
        <v>90</v>
      </c>
      <c r="AA72" t="s">
        <v>768</v>
      </c>
      <c r="AB72">
        <v>0</v>
      </c>
      <c r="AC72">
        <v>1</v>
      </c>
      <c r="AD72">
        <v>1</v>
      </c>
      <c r="AE72">
        <v>0</v>
      </c>
    </row>
    <row r="73" spans="6:31" x14ac:dyDescent="0.25">
      <c r="F73" t="s">
        <v>172</v>
      </c>
      <c r="G73" t="s">
        <v>90</v>
      </c>
      <c r="H73" t="s">
        <v>173</v>
      </c>
      <c r="I73" t="s">
        <v>174</v>
      </c>
      <c r="J73">
        <v>45</v>
      </c>
      <c r="K73">
        <v>0</v>
      </c>
      <c r="L73">
        <v>0</v>
      </c>
      <c r="M73">
        <v>0</v>
      </c>
      <c r="O73" t="s">
        <v>477</v>
      </c>
      <c r="P73" t="s">
        <v>478</v>
      </c>
      <c r="Q73" t="s">
        <v>90</v>
      </c>
      <c r="R73" t="s">
        <v>479</v>
      </c>
      <c r="S73">
        <v>1</v>
      </c>
      <c r="T73">
        <v>9</v>
      </c>
      <c r="U73">
        <v>9</v>
      </c>
      <c r="V73">
        <v>0</v>
      </c>
      <c r="X73" t="s">
        <v>769</v>
      </c>
      <c r="Y73" t="s">
        <v>770</v>
      </c>
      <c r="Z73" t="s">
        <v>90</v>
      </c>
      <c r="AA73" t="s">
        <v>771</v>
      </c>
      <c r="AB73">
        <v>0</v>
      </c>
      <c r="AC73">
        <v>1</v>
      </c>
      <c r="AD73">
        <v>6</v>
      </c>
      <c r="AE73">
        <v>2</v>
      </c>
    </row>
    <row r="74" spans="6:31" x14ac:dyDescent="0.25">
      <c r="F74" t="s">
        <v>91</v>
      </c>
      <c r="G74" t="s">
        <v>90</v>
      </c>
      <c r="H74" t="s">
        <v>22</v>
      </c>
      <c r="I74" t="s">
        <v>23</v>
      </c>
      <c r="J74">
        <v>33</v>
      </c>
      <c r="K74">
        <v>0</v>
      </c>
      <c r="L74">
        <v>0</v>
      </c>
      <c r="M74">
        <v>0</v>
      </c>
      <c r="O74" t="s">
        <v>480</v>
      </c>
      <c r="P74" t="s">
        <v>481</v>
      </c>
      <c r="Q74" t="s">
        <v>90</v>
      </c>
      <c r="R74" t="s">
        <v>482</v>
      </c>
      <c r="S74">
        <v>1</v>
      </c>
      <c r="T74">
        <v>1</v>
      </c>
      <c r="U74">
        <v>7</v>
      </c>
      <c r="V74">
        <v>0</v>
      </c>
      <c r="X74" t="s">
        <v>810</v>
      </c>
      <c r="Y74" t="s">
        <v>811</v>
      </c>
      <c r="Z74" t="s">
        <v>90</v>
      </c>
      <c r="AA74" t="s">
        <v>812</v>
      </c>
      <c r="AB74">
        <v>0</v>
      </c>
      <c r="AC74">
        <v>1</v>
      </c>
      <c r="AD74">
        <v>0</v>
      </c>
      <c r="AE74">
        <v>0</v>
      </c>
    </row>
    <row r="75" spans="6:31" x14ac:dyDescent="0.25">
      <c r="F75" t="s">
        <v>178</v>
      </c>
      <c r="G75" t="s">
        <v>88</v>
      </c>
      <c r="H75" t="s">
        <v>179</v>
      </c>
      <c r="I75" t="s">
        <v>180</v>
      </c>
      <c r="J75">
        <v>33</v>
      </c>
      <c r="K75">
        <v>0</v>
      </c>
      <c r="L75">
        <v>0</v>
      </c>
      <c r="M75">
        <v>0</v>
      </c>
      <c r="O75" t="s">
        <v>483</v>
      </c>
      <c r="P75" t="s">
        <v>484</v>
      </c>
      <c r="Q75" t="s">
        <v>90</v>
      </c>
      <c r="R75" t="s">
        <v>485</v>
      </c>
      <c r="S75">
        <v>1</v>
      </c>
      <c r="T75">
        <v>3</v>
      </c>
      <c r="U75">
        <v>8</v>
      </c>
      <c r="V75">
        <v>0</v>
      </c>
      <c r="X75" t="s">
        <v>840</v>
      </c>
      <c r="Y75" t="s">
        <v>841</v>
      </c>
      <c r="Z75" t="s">
        <v>88</v>
      </c>
      <c r="AA75" t="s">
        <v>842</v>
      </c>
      <c r="AB75">
        <v>0</v>
      </c>
      <c r="AC75">
        <v>1</v>
      </c>
      <c r="AD75">
        <v>2</v>
      </c>
      <c r="AE75">
        <v>1</v>
      </c>
    </row>
    <row r="76" spans="6:31" x14ac:dyDescent="0.25">
      <c r="F76" t="s">
        <v>162</v>
      </c>
      <c r="G76" t="s">
        <v>163</v>
      </c>
      <c r="H76" t="s">
        <v>164</v>
      </c>
      <c r="I76" t="s">
        <v>165</v>
      </c>
      <c r="J76">
        <v>21</v>
      </c>
      <c r="K76">
        <v>0</v>
      </c>
      <c r="L76">
        <v>0</v>
      </c>
      <c r="M76">
        <v>0</v>
      </c>
      <c r="O76" t="s">
        <v>486</v>
      </c>
      <c r="P76" t="s">
        <v>487</v>
      </c>
      <c r="Q76" t="s">
        <v>90</v>
      </c>
      <c r="R76" t="s">
        <v>488</v>
      </c>
      <c r="S76">
        <v>5</v>
      </c>
      <c r="T76">
        <v>44</v>
      </c>
      <c r="U76">
        <v>21</v>
      </c>
      <c r="V76">
        <v>7</v>
      </c>
      <c r="X76" t="s">
        <v>843</v>
      </c>
      <c r="Y76" t="s">
        <v>844</v>
      </c>
      <c r="Z76" t="s">
        <v>88</v>
      </c>
      <c r="AA76" t="s">
        <v>845</v>
      </c>
      <c r="AB76">
        <v>0</v>
      </c>
      <c r="AC76">
        <v>1</v>
      </c>
      <c r="AD76">
        <v>1</v>
      </c>
      <c r="AE76">
        <v>0</v>
      </c>
    </row>
    <row r="77" spans="6:31" x14ac:dyDescent="0.25">
      <c r="F77" t="s">
        <v>89</v>
      </c>
      <c r="G77" t="s">
        <v>90</v>
      </c>
      <c r="H77" t="s">
        <v>20</v>
      </c>
      <c r="I77" t="s">
        <v>21</v>
      </c>
      <c r="J77">
        <v>20</v>
      </c>
      <c r="K77">
        <v>0</v>
      </c>
      <c r="L77">
        <v>0</v>
      </c>
      <c r="M77">
        <v>0</v>
      </c>
      <c r="O77" t="s">
        <v>489</v>
      </c>
      <c r="P77" t="s">
        <v>487</v>
      </c>
      <c r="Q77" t="s">
        <v>90</v>
      </c>
      <c r="R77" t="s">
        <v>490</v>
      </c>
      <c r="S77">
        <v>25</v>
      </c>
      <c r="T77">
        <v>329</v>
      </c>
      <c r="U77">
        <v>87</v>
      </c>
      <c r="V77">
        <v>82</v>
      </c>
      <c r="X77" t="s">
        <v>924</v>
      </c>
      <c r="Y77" t="s">
        <v>925</v>
      </c>
      <c r="Z77" t="s">
        <v>90</v>
      </c>
      <c r="AA77" t="s">
        <v>926</v>
      </c>
      <c r="AB77">
        <v>0</v>
      </c>
      <c r="AC77">
        <v>1</v>
      </c>
      <c r="AD77">
        <v>1</v>
      </c>
      <c r="AE77">
        <v>0</v>
      </c>
    </row>
    <row r="78" spans="6:31" x14ac:dyDescent="0.25">
      <c r="F78" t="s">
        <v>156</v>
      </c>
      <c r="G78" t="s">
        <v>88</v>
      </c>
      <c r="H78" t="s">
        <v>157</v>
      </c>
      <c r="I78" t="s">
        <v>158</v>
      </c>
      <c r="J78">
        <v>17</v>
      </c>
      <c r="K78">
        <v>0</v>
      </c>
      <c r="L78">
        <v>0</v>
      </c>
      <c r="M78">
        <v>0</v>
      </c>
      <c r="O78" t="s">
        <v>491</v>
      </c>
      <c r="P78" t="s">
        <v>492</v>
      </c>
      <c r="Q78" t="s">
        <v>90</v>
      </c>
      <c r="R78" t="s">
        <v>493</v>
      </c>
      <c r="S78">
        <v>4</v>
      </c>
      <c r="T78">
        <v>108</v>
      </c>
      <c r="U78">
        <v>15</v>
      </c>
      <c r="V78">
        <v>22</v>
      </c>
      <c r="X78" t="s">
        <v>649</v>
      </c>
      <c r="Y78" t="s">
        <v>650</v>
      </c>
      <c r="Z78" t="s">
        <v>88</v>
      </c>
      <c r="AA78" t="s">
        <v>651</v>
      </c>
      <c r="AB78">
        <v>2</v>
      </c>
      <c r="AC78">
        <v>0</v>
      </c>
      <c r="AD78">
        <v>0</v>
      </c>
      <c r="AE78">
        <v>0</v>
      </c>
    </row>
    <row r="79" spans="6:31" x14ac:dyDescent="0.25">
      <c r="F79" t="s">
        <v>99</v>
      </c>
      <c r="G79" t="s">
        <v>90</v>
      </c>
      <c r="H79" t="s">
        <v>100</v>
      </c>
      <c r="I79" t="s">
        <v>101</v>
      </c>
      <c r="J79">
        <v>16</v>
      </c>
      <c r="K79">
        <v>0</v>
      </c>
      <c r="L79">
        <v>0</v>
      </c>
      <c r="M79">
        <v>0</v>
      </c>
      <c r="O79" t="s">
        <v>494</v>
      </c>
      <c r="P79" t="s">
        <v>495</v>
      </c>
      <c r="Q79" t="s">
        <v>90</v>
      </c>
      <c r="R79" t="s">
        <v>496</v>
      </c>
      <c r="S79">
        <v>1</v>
      </c>
      <c r="T79">
        <v>0</v>
      </c>
      <c r="U79">
        <v>0</v>
      </c>
      <c r="V79">
        <v>0</v>
      </c>
      <c r="X79" t="s">
        <v>652</v>
      </c>
      <c r="Y79" t="s">
        <v>653</v>
      </c>
      <c r="Z79" t="s">
        <v>88</v>
      </c>
      <c r="AA79" t="s">
        <v>654</v>
      </c>
      <c r="AB79">
        <v>2</v>
      </c>
      <c r="AC79">
        <v>0</v>
      </c>
      <c r="AD79">
        <v>0</v>
      </c>
      <c r="AE79">
        <v>0</v>
      </c>
    </row>
    <row r="80" spans="6:31" x14ac:dyDescent="0.25">
      <c r="F80" t="s">
        <v>184</v>
      </c>
      <c r="G80" t="s">
        <v>88</v>
      </c>
      <c r="H80" t="s">
        <v>185</v>
      </c>
      <c r="I80" t="s">
        <v>186</v>
      </c>
      <c r="J80">
        <v>16</v>
      </c>
      <c r="K80">
        <v>0</v>
      </c>
      <c r="L80">
        <v>0</v>
      </c>
      <c r="M80">
        <v>0</v>
      </c>
      <c r="O80" t="s">
        <v>497</v>
      </c>
      <c r="P80" t="s">
        <v>498</v>
      </c>
      <c r="Q80" t="s">
        <v>163</v>
      </c>
      <c r="R80" t="s">
        <v>499</v>
      </c>
      <c r="S80">
        <v>2</v>
      </c>
      <c r="T80">
        <v>0</v>
      </c>
      <c r="U80">
        <v>0</v>
      </c>
      <c r="V80">
        <v>0</v>
      </c>
      <c r="X80" t="s">
        <v>655</v>
      </c>
      <c r="Y80" t="s">
        <v>656</v>
      </c>
      <c r="Z80" t="s">
        <v>88</v>
      </c>
      <c r="AA80" t="s">
        <v>657</v>
      </c>
      <c r="AB80">
        <v>2</v>
      </c>
      <c r="AC80">
        <v>0</v>
      </c>
      <c r="AD80">
        <v>0</v>
      </c>
      <c r="AE80">
        <v>0</v>
      </c>
    </row>
    <row r="81" spans="6:31" x14ac:dyDescent="0.25">
      <c r="F81" t="s">
        <v>97</v>
      </c>
      <c r="G81" t="s">
        <v>88</v>
      </c>
      <c r="H81" t="s">
        <v>34</v>
      </c>
      <c r="I81" t="s">
        <v>35</v>
      </c>
      <c r="J81">
        <v>15</v>
      </c>
      <c r="K81">
        <v>0</v>
      </c>
      <c r="L81">
        <v>0</v>
      </c>
      <c r="M81">
        <v>0</v>
      </c>
      <c r="O81" t="s">
        <v>500</v>
      </c>
      <c r="P81" t="s">
        <v>501</v>
      </c>
      <c r="Q81" t="s">
        <v>90</v>
      </c>
      <c r="R81" t="s">
        <v>502</v>
      </c>
      <c r="S81">
        <v>5</v>
      </c>
      <c r="T81">
        <v>0</v>
      </c>
      <c r="U81">
        <v>0</v>
      </c>
      <c r="V81">
        <v>0</v>
      </c>
      <c r="X81" t="s">
        <v>658</v>
      </c>
      <c r="Y81" t="s">
        <v>659</v>
      </c>
      <c r="Z81" t="s">
        <v>88</v>
      </c>
      <c r="AA81" t="s">
        <v>660</v>
      </c>
      <c r="AB81">
        <v>3</v>
      </c>
      <c r="AC81">
        <v>0</v>
      </c>
      <c r="AD81">
        <v>0</v>
      </c>
      <c r="AE81">
        <v>0</v>
      </c>
    </row>
    <row r="82" spans="6:31" x14ac:dyDescent="0.25">
      <c r="F82" t="s">
        <v>288</v>
      </c>
      <c r="G82" t="s">
        <v>90</v>
      </c>
      <c r="H82" t="s">
        <v>289</v>
      </c>
      <c r="I82" t="s">
        <v>290</v>
      </c>
      <c r="J82">
        <v>15</v>
      </c>
      <c r="K82">
        <v>0</v>
      </c>
      <c r="L82">
        <v>0</v>
      </c>
      <c r="M82">
        <v>0</v>
      </c>
      <c r="O82" t="s">
        <v>503</v>
      </c>
      <c r="P82" t="s">
        <v>504</v>
      </c>
      <c r="Q82" t="s">
        <v>163</v>
      </c>
      <c r="R82" t="s">
        <v>505</v>
      </c>
      <c r="S82">
        <v>0</v>
      </c>
      <c r="T82">
        <v>11</v>
      </c>
      <c r="U82">
        <v>1</v>
      </c>
      <c r="V82">
        <v>2</v>
      </c>
      <c r="X82" t="s">
        <v>661</v>
      </c>
      <c r="Y82" t="s">
        <v>662</v>
      </c>
      <c r="Z82" t="s">
        <v>88</v>
      </c>
      <c r="AA82" t="s">
        <v>663</v>
      </c>
      <c r="AB82">
        <v>1</v>
      </c>
      <c r="AC82">
        <v>0</v>
      </c>
      <c r="AD82">
        <v>0</v>
      </c>
      <c r="AE82">
        <v>0</v>
      </c>
    </row>
    <row r="83" spans="6:31" x14ac:dyDescent="0.25">
      <c r="F83" t="s">
        <v>305</v>
      </c>
      <c r="G83" t="s">
        <v>90</v>
      </c>
      <c r="H83" t="s">
        <v>306</v>
      </c>
      <c r="I83" t="s">
        <v>307</v>
      </c>
      <c r="J83">
        <v>13</v>
      </c>
      <c r="K83">
        <v>0</v>
      </c>
      <c r="L83">
        <v>0</v>
      </c>
      <c r="M83">
        <v>0</v>
      </c>
      <c r="O83" t="s">
        <v>506</v>
      </c>
      <c r="P83" t="s">
        <v>507</v>
      </c>
      <c r="Q83" t="s">
        <v>88</v>
      </c>
      <c r="R83" t="s">
        <v>508</v>
      </c>
      <c r="S83">
        <v>2</v>
      </c>
      <c r="T83">
        <v>0</v>
      </c>
      <c r="U83">
        <v>0</v>
      </c>
      <c r="V83">
        <v>0</v>
      </c>
      <c r="X83" t="s">
        <v>664</v>
      </c>
      <c r="Y83" t="s">
        <v>665</v>
      </c>
      <c r="Z83" t="s">
        <v>88</v>
      </c>
      <c r="AA83" t="s">
        <v>666</v>
      </c>
      <c r="AB83">
        <v>5</v>
      </c>
      <c r="AC83">
        <v>0</v>
      </c>
      <c r="AD83">
        <v>0</v>
      </c>
      <c r="AE83">
        <v>0</v>
      </c>
    </row>
    <row r="84" spans="6:31" x14ac:dyDescent="0.25">
      <c r="F84" t="s">
        <v>264</v>
      </c>
      <c r="G84" t="s">
        <v>90</v>
      </c>
      <c r="H84" t="s">
        <v>265</v>
      </c>
      <c r="I84" t="s">
        <v>266</v>
      </c>
      <c r="J84">
        <v>11</v>
      </c>
      <c r="K84">
        <v>0</v>
      </c>
      <c r="L84">
        <v>0</v>
      </c>
      <c r="M84">
        <v>0</v>
      </c>
      <c r="O84" t="s">
        <v>509</v>
      </c>
      <c r="P84" t="s">
        <v>510</v>
      </c>
      <c r="Q84" t="s">
        <v>88</v>
      </c>
      <c r="R84" t="s">
        <v>511</v>
      </c>
      <c r="S84">
        <v>3</v>
      </c>
      <c r="T84">
        <v>0</v>
      </c>
      <c r="U84">
        <v>0</v>
      </c>
      <c r="V84">
        <v>0</v>
      </c>
      <c r="X84" t="s">
        <v>667</v>
      </c>
      <c r="Y84" t="s">
        <v>668</v>
      </c>
      <c r="Z84" t="s">
        <v>88</v>
      </c>
      <c r="AA84" t="s">
        <v>669</v>
      </c>
      <c r="AB84">
        <v>1</v>
      </c>
      <c r="AC84">
        <v>0</v>
      </c>
      <c r="AD84">
        <v>0</v>
      </c>
      <c r="AE84">
        <v>0</v>
      </c>
    </row>
    <row r="85" spans="6:31" x14ac:dyDescent="0.25">
      <c r="F85" t="s">
        <v>311</v>
      </c>
      <c r="G85" t="s">
        <v>88</v>
      </c>
      <c r="H85" t="s">
        <v>312</v>
      </c>
      <c r="I85" t="s">
        <v>313</v>
      </c>
      <c r="J85">
        <v>11</v>
      </c>
      <c r="K85">
        <v>0</v>
      </c>
      <c r="L85">
        <v>0</v>
      </c>
      <c r="M85">
        <v>0</v>
      </c>
      <c r="O85" t="s">
        <v>512</v>
      </c>
      <c r="P85" t="s">
        <v>513</v>
      </c>
      <c r="Q85" t="s">
        <v>88</v>
      </c>
      <c r="R85" t="s">
        <v>514</v>
      </c>
      <c r="S85">
        <v>1</v>
      </c>
      <c r="T85">
        <v>0</v>
      </c>
      <c r="U85">
        <v>0</v>
      </c>
      <c r="V85">
        <v>0</v>
      </c>
      <c r="X85" t="s">
        <v>670</v>
      </c>
      <c r="Y85" t="s">
        <v>671</v>
      </c>
      <c r="Z85" t="s">
        <v>88</v>
      </c>
      <c r="AA85" t="s">
        <v>672</v>
      </c>
      <c r="AB85">
        <v>1</v>
      </c>
      <c r="AC85">
        <v>0</v>
      </c>
      <c r="AD85">
        <v>0</v>
      </c>
      <c r="AE85">
        <v>0</v>
      </c>
    </row>
    <row r="86" spans="6:31" x14ac:dyDescent="0.25">
      <c r="F86" t="s">
        <v>153</v>
      </c>
      <c r="G86" t="s">
        <v>88</v>
      </c>
      <c r="H86" t="s">
        <v>154</v>
      </c>
      <c r="I86" t="s">
        <v>155</v>
      </c>
      <c r="J86">
        <v>10</v>
      </c>
      <c r="K86">
        <v>0</v>
      </c>
      <c r="L86">
        <v>0</v>
      </c>
      <c r="M86">
        <v>0</v>
      </c>
      <c r="O86" t="s">
        <v>515</v>
      </c>
      <c r="P86" t="s">
        <v>516</v>
      </c>
      <c r="Q86" t="s">
        <v>88</v>
      </c>
      <c r="R86" t="s">
        <v>517</v>
      </c>
      <c r="S86">
        <v>1</v>
      </c>
      <c r="T86">
        <v>0</v>
      </c>
      <c r="U86">
        <v>0</v>
      </c>
      <c r="V86">
        <v>0</v>
      </c>
      <c r="X86" t="s">
        <v>673</v>
      </c>
      <c r="Y86" t="s">
        <v>674</v>
      </c>
      <c r="Z86" t="s">
        <v>88</v>
      </c>
      <c r="AA86" t="s">
        <v>675</v>
      </c>
      <c r="AB86">
        <v>1</v>
      </c>
      <c r="AC86">
        <v>0</v>
      </c>
      <c r="AD86">
        <v>0</v>
      </c>
      <c r="AE86">
        <v>0</v>
      </c>
    </row>
    <row r="87" spans="6:31" x14ac:dyDescent="0.25">
      <c r="F87" t="s">
        <v>159</v>
      </c>
      <c r="G87" t="s">
        <v>88</v>
      </c>
      <c r="H87" t="s">
        <v>160</v>
      </c>
      <c r="I87" t="s">
        <v>161</v>
      </c>
      <c r="J87">
        <v>10</v>
      </c>
      <c r="K87">
        <v>0</v>
      </c>
      <c r="L87">
        <v>0</v>
      </c>
      <c r="M87">
        <v>0</v>
      </c>
      <c r="O87" t="s">
        <v>518</v>
      </c>
      <c r="P87" t="s">
        <v>519</v>
      </c>
      <c r="Q87" t="s">
        <v>88</v>
      </c>
      <c r="R87" t="s">
        <v>520</v>
      </c>
      <c r="S87">
        <v>1</v>
      </c>
      <c r="T87">
        <v>0</v>
      </c>
      <c r="U87">
        <v>0</v>
      </c>
      <c r="V87">
        <v>0</v>
      </c>
      <c r="X87" t="s">
        <v>676</v>
      </c>
      <c r="Y87" t="s">
        <v>677</v>
      </c>
      <c r="Z87" t="s">
        <v>88</v>
      </c>
      <c r="AA87" t="s">
        <v>678</v>
      </c>
      <c r="AB87">
        <v>1</v>
      </c>
      <c r="AC87">
        <v>0</v>
      </c>
      <c r="AD87">
        <v>0</v>
      </c>
      <c r="AE87">
        <v>0</v>
      </c>
    </row>
    <row r="88" spans="6:31" x14ac:dyDescent="0.25">
      <c r="F88" t="s">
        <v>166</v>
      </c>
      <c r="G88" t="s">
        <v>163</v>
      </c>
      <c r="H88" t="s">
        <v>167</v>
      </c>
      <c r="I88" t="s">
        <v>168</v>
      </c>
      <c r="J88">
        <v>10</v>
      </c>
      <c r="K88">
        <v>0</v>
      </c>
      <c r="L88">
        <v>0</v>
      </c>
      <c r="M88">
        <v>0</v>
      </c>
      <c r="O88" t="s">
        <v>521</v>
      </c>
      <c r="P88" t="s">
        <v>522</v>
      </c>
      <c r="Q88" t="s">
        <v>88</v>
      </c>
      <c r="R88" t="s">
        <v>523</v>
      </c>
      <c r="S88">
        <v>1</v>
      </c>
      <c r="T88">
        <v>0</v>
      </c>
      <c r="U88">
        <v>0</v>
      </c>
      <c r="V88">
        <v>0</v>
      </c>
      <c r="X88" t="s">
        <v>679</v>
      </c>
      <c r="Y88" t="s">
        <v>680</v>
      </c>
      <c r="Z88" t="s">
        <v>88</v>
      </c>
      <c r="AA88" t="s">
        <v>681</v>
      </c>
      <c r="AB88">
        <v>1</v>
      </c>
      <c r="AC88">
        <v>0</v>
      </c>
      <c r="AD88">
        <v>0</v>
      </c>
      <c r="AE88">
        <v>0</v>
      </c>
    </row>
    <row r="89" spans="6:31" x14ac:dyDescent="0.25">
      <c r="F89" t="s">
        <v>111</v>
      </c>
      <c r="G89" t="s">
        <v>90</v>
      </c>
      <c r="H89" t="s">
        <v>112</v>
      </c>
      <c r="I89" t="s">
        <v>113</v>
      </c>
      <c r="J89">
        <v>9</v>
      </c>
      <c r="K89">
        <v>0</v>
      </c>
      <c r="L89">
        <v>0</v>
      </c>
      <c r="M89">
        <v>0</v>
      </c>
      <c r="O89" t="s">
        <v>524</v>
      </c>
      <c r="P89" t="s">
        <v>525</v>
      </c>
      <c r="Q89" t="s">
        <v>88</v>
      </c>
      <c r="R89" t="s">
        <v>526</v>
      </c>
      <c r="S89">
        <v>3</v>
      </c>
      <c r="T89">
        <v>0</v>
      </c>
      <c r="U89">
        <v>0</v>
      </c>
      <c r="V89">
        <v>0</v>
      </c>
      <c r="X89" t="s">
        <v>682</v>
      </c>
      <c r="Y89" t="s">
        <v>683</v>
      </c>
      <c r="Z89" t="s">
        <v>88</v>
      </c>
      <c r="AA89" t="s">
        <v>684</v>
      </c>
      <c r="AB89">
        <v>1</v>
      </c>
      <c r="AC89">
        <v>0</v>
      </c>
      <c r="AD89">
        <v>0</v>
      </c>
      <c r="AE89">
        <v>0</v>
      </c>
    </row>
    <row r="90" spans="6:31" x14ac:dyDescent="0.25">
      <c r="F90" t="s">
        <v>181</v>
      </c>
      <c r="G90" t="s">
        <v>88</v>
      </c>
      <c r="H90" t="s">
        <v>182</v>
      </c>
      <c r="I90" t="s">
        <v>183</v>
      </c>
      <c r="J90">
        <v>9</v>
      </c>
      <c r="K90">
        <v>0</v>
      </c>
      <c r="L90">
        <v>0</v>
      </c>
      <c r="M90">
        <v>0</v>
      </c>
      <c r="O90" t="s">
        <v>527</v>
      </c>
      <c r="P90" t="s">
        <v>528</v>
      </c>
      <c r="Q90" t="s">
        <v>88</v>
      </c>
      <c r="R90" t="s">
        <v>529</v>
      </c>
      <c r="S90">
        <v>1</v>
      </c>
      <c r="T90">
        <v>0</v>
      </c>
      <c r="U90">
        <v>0</v>
      </c>
      <c r="V90">
        <v>0</v>
      </c>
      <c r="X90" t="s">
        <v>685</v>
      </c>
      <c r="Y90" t="s">
        <v>686</v>
      </c>
      <c r="Z90" t="s">
        <v>88</v>
      </c>
      <c r="AA90" t="s">
        <v>687</v>
      </c>
      <c r="AB90">
        <v>1</v>
      </c>
      <c r="AC90">
        <v>0</v>
      </c>
      <c r="AD90">
        <v>0</v>
      </c>
      <c r="AE90">
        <v>0</v>
      </c>
    </row>
    <row r="91" spans="6:31" x14ac:dyDescent="0.25">
      <c r="F91" t="s">
        <v>92</v>
      </c>
      <c r="G91" t="s">
        <v>90</v>
      </c>
      <c r="H91" t="s">
        <v>24</v>
      </c>
      <c r="I91" t="s">
        <v>25</v>
      </c>
      <c r="J91">
        <v>7</v>
      </c>
      <c r="K91">
        <v>0</v>
      </c>
      <c r="L91">
        <v>0</v>
      </c>
      <c r="M91">
        <v>0</v>
      </c>
      <c r="O91" t="s">
        <v>530</v>
      </c>
      <c r="P91" t="s">
        <v>531</v>
      </c>
      <c r="Q91" t="s">
        <v>88</v>
      </c>
      <c r="R91" t="s">
        <v>532</v>
      </c>
      <c r="S91">
        <v>1</v>
      </c>
      <c r="T91">
        <v>0</v>
      </c>
      <c r="U91">
        <v>0</v>
      </c>
      <c r="V91">
        <v>0</v>
      </c>
      <c r="X91" t="s">
        <v>688</v>
      </c>
      <c r="Y91" t="s">
        <v>689</v>
      </c>
      <c r="Z91" t="s">
        <v>88</v>
      </c>
      <c r="AA91" t="s">
        <v>690</v>
      </c>
      <c r="AB91">
        <v>1</v>
      </c>
      <c r="AC91">
        <v>0</v>
      </c>
      <c r="AD91">
        <v>0</v>
      </c>
      <c r="AE91">
        <v>0</v>
      </c>
    </row>
    <row r="92" spans="6:31" x14ac:dyDescent="0.25">
      <c r="F92" t="s">
        <v>192</v>
      </c>
      <c r="G92" t="s">
        <v>88</v>
      </c>
      <c r="H92" t="s">
        <v>193</v>
      </c>
      <c r="I92" t="s">
        <v>194</v>
      </c>
      <c r="J92">
        <v>7</v>
      </c>
      <c r="K92">
        <v>0</v>
      </c>
      <c r="L92">
        <v>5</v>
      </c>
      <c r="M92">
        <v>0</v>
      </c>
      <c r="O92" t="s">
        <v>533</v>
      </c>
      <c r="P92" t="s">
        <v>534</v>
      </c>
      <c r="Q92" t="s">
        <v>88</v>
      </c>
      <c r="R92" t="s">
        <v>535</v>
      </c>
      <c r="S92">
        <v>2</v>
      </c>
      <c r="T92">
        <v>0</v>
      </c>
      <c r="U92">
        <v>0</v>
      </c>
      <c r="V92">
        <v>0</v>
      </c>
      <c r="X92" t="s">
        <v>691</v>
      </c>
      <c r="Y92" t="s">
        <v>692</v>
      </c>
      <c r="Z92" t="s">
        <v>88</v>
      </c>
      <c r="AA92" t="s">
        <v>693</v>
      </c>
      <c r="AB92">
        <v>2</v>
      </c>
      <c r="AC92">
        <v>0</v>
      </c>
      <c r="AD92">
        <v>0</v>
      </c>
      <c r="AE92">
        <v>0</v>
      </c>
    </row>
    <row r="93" spans="6:31" x14ac:dyDescent="0.25">
      <c r="F93" t="s">
        <v>108</v>
      </c>
      <c r="G93" t="s">
        <v>88</v>
      </c>
      <c r="H93" t="s">
        <v>109</v>
      </c>
      <c r="I93" t="s">
        <v>110</v>
      </c>
      <c r="J93">
        <v>6</v>
      </c>
      <c r="K93">
        <v>0</v>
      </c>
      <c r="L93">
        <v>0</v>
      </c>
      <c r="M93">
        <v>0</v>
      </c>
      <c r="O93" t="s">
        <v>536</v>
      </c>
      <c r="P93" t="s">
        <v>537</v>
      </c>
      <c r="Q93" t="s">
        <v>163</v>
      </c>
      <c r="R93" t="s">
        <v>538</v>
      </c>
      <c r="S93">
        <v>2</v>
      </c>
      <c r="T93">
        <v>0</v>
      </c>
      <c r="U93">
        <v>0</v>
      </c>
      <c r="V93">
        <v>0</v>
      </c>
      <c r="X93" t="s">
        <v>694</v>
      </c>
      <c r="Y93" t="s">
        <v>695</v>
      </c>
      <c r="Z93" t="s">
        <v>88</v>
      </c>
      <c r="AA93" t="s">
        <v>696</v>
      </c>
      <c r="AB93">
        <v>2</v>
      </c>
      <c r="AC93">
        <v>0</v>
      </c>
      <c r="AD93">
        <v>0</v>
      </c>
      <c r="AE93">
        <v>0</v>
      </c>
    </row>
    <row r="94" spans="6:31" x14ac:dyDescent="0.25">
      <c r="F94" t="s">
        <v>236</v>
      </c>
      <c r="G94" t="s">
        <v>90</v>
      </c>
      <c r="H94" t="s">
        <v>237</v>
      </c>
      <c r="I94" t="s">
        <v>238</v>
      </c>
      <c r="J94">
        <v>6</v>
      </c>
      <c r="K94">
        <v>0</v>
      </c>
      <c r="L94">
        <v>0</v>
      </c>
      <c r="M94">
        <v>0</v>
      </c>
      <c r="O94" t="s">
        <v>539</v>
      </c>
      <c r="P94" t="s">
        <v>540</v>
      </c>
      <c r="Q94" t="s">
        <v>163</v>
      </c>
      <c r="R94" t="s">
        <v>541</v>
      </c>
      <c r="S94">
        <v>2</v>
      </c>
      <c r="T94">
        <v>0</v>
      </c>
      <c r="U94">
        <v>0</v>
      </c>
      <c r="V94">
        <v>0</v>
      </c>
      <c r="X94" t="s">
        <v>697</v>
      </c>
      <c r="Y94" t="s">
        <v>698</v>
      </c>
      <c r="Z94" t="s">
        <v>88</v>
      </c>
      <c r="AA94" t="s">
        <v>699</v>
      </c>
      <c r="AB94">
        <v>2</v>
      </c>
      <c r="AC94">
        <v>0</v>
      </c>
      <c r="AD94">
        <v>0</v>
      </c>
      <c r="AE94">
        <v>0</v>
      </c>
    </row>
    <row r="95" spans="6:31" x14ac:dyDescent="0.25">
      <c r="F95" t="s">
        <v>296</v>
      </c>
      <c r="G95" t="s">
        <v>90</v>
      </c>
      <c r="H95" t="s">
        <v>297</v>
      </c>
      <c r="I95" t="s">
        <v>298</v>
      </c>
      <c r="J95">
        <v>6</v>
      </c>
      <c r="K95">
        <v>0</v>
      </c>
      <c r="L95">
        <v>0</v>
      </c>
      <c r="M95">
        <v>0</v>
      </c>
      <c r="O95" t="s">
        <v>542</v>
      </c>
      <c r="P95" t="s">
        <v>543</v>
      </c>
      <c r="Q95" t="s">
        <v>163</v>
      </c>
      <c r="R95" t="s">
        <v>544</v>
      </c>
      <c r="S95">
        <v>1</v>
      </c>
      <c r="T95">
        <v>0</v>
      </c>
      <c r="U95">
        <v>0</v>
      </c>
      <c r="V95">
        <v>0</v>
      </c>
      <c r="X95" t="s">
        <v>700</v>
      </c>
      <c r="Y95" t="s">
        <v>701</v>
      </c>
      <c r="Z95" t="s">
        <v>88</v>
      </c>
      <c r="AA95" t="s">
        <v>702</v>
      </c>
      <c r="AB95">
        <v>1</v>
      </c>
      <c r="AC95">
        <v>0</v>
      </c>
      <c r="AD95">
        <v>0</v>
      </c>
      <c r="AE95">
        <v>0</v>
      </c>
    </row>
    <row r="96" spans="6:31" x14ac:dyDescent="0.25">
      <c r="F96" t="s">
        <v>302</v>
      </c>
      <c r="G96" t="s">
        <v>88</v>
      </c>
      <c r="H96" t="s">
        <v>303</v>
      </c>
      <c r="I96" t="s">
        <v>304</v>
      </c>
      <c r="J96">
        <v>6</v>
      </c>
      <c r="K96">
        <v>0</v>
      </c>
      <c r="L96">
        <v>0</v>
      </c>
      <c r="M96">
        <v>0</v>
      </c>
      <c r="O96" t="s">
        <v>545</v>
      </c>
      <c r="P96" t="s">
        <v>546</v>
      </c>
      <c r="Q96" t="s">
        <v>163</v>
      </c>
      <c r="R96" t="s">
        <v>547</v>
      </c>
      <c r="S96">
        <v>1</v>
      </c>
      <c r="T96">
        <v>0</v>
      </c>
      <c r="U96">
        <v>0</v>
      </c>
      <c r="V96">
        <v>0</v>
      </c>
      <c r="X96" t="s">
        <v>703</v>
      </c>
      <c r="Y96" t="s">
        <v>704</v>
      </c>
      <c r="Z96" t="s">
        <v>88</v>
      </c>
      <c r="AA96" t="s">
        <v>705</v>
      </c>
      <c r="AB96">
        <v>1</v>
      </c>
      <c r="AC96">
        <v>0</v>
      </c>
      <c r="AD96">
        <v>0</v>
      </c>
      <c r="AE96">
        <v>0</v>
      </c>
    </row>
    <row r="97" spans="6:31" x14ac:dyDescent="0.25">
      <c r="F97" t="s">
        <v>320</v>
      </c>
      <c r="G97" t="s">
        <v>90</v>
      </c>
      <c r="H97" t="s">
        <v>321</v>
      </c>
      <c r="I97" t="s">
        <v>322</v>
      </c>
      <c r="J97">
        <v>6</v>
      </c>
      <c r="K97">
        <v>0</v>
      </c>
      <c r="L97">
        <v>0</v>
      </c>
      <c r="M97">
        <v>0</v>
      </c>
      <c r="O97" t="s">
        <v>548</v>
      </c>
      <c r="P97" t="s">
        <v>549</v>
      </c>
      <c r="Q97" t="s">
        <v>90</v>
      </c>
      <c r="R97" t="s">
        <v>550</v>
      </c>
      <c r="S97">
        <v>0</v>
      </c>
      <c r="T97">
        <v>1</v>
      </c>
      <c r="U97">
        <v>0</v>
      </c>
      <c r="V97">
        <v>0</v>
      </c>
      <c r="X97" t="s">
        <v>706</v>
      </c>
      <c r="Y97" t="s">
        <v>707</v>
      </c>
      <c r="Z97" t="s">
        <v>88</v>
      </c>
      <c r="AA97" t="s">
        <v>708</v>
      </c>
      <c r="AB97">
        <v>1</v>
      </c>
      <c r="AC97">
        <v>0</v>
      </c>
      <c r="AD97">
        <v>0</v>
      </c>
      <c r="AE97">
        <v>0</v>
      </c>
    </row>
    <row r="98" spans="6:31" x14ac:dyDescent="0.25">
      <c r="F98" t="s">
        <v>347</v>
      </c>
      <c r="G98" t="s">
        <v>90</v>
      </c>
      <c r="H98" t="s">
        <v>348</v>
      </c>
      <c r="I98" t="s">
        <v>349</v>
      </c>
      <c r="J98">
        <v>6</v>
      </c>
      <c r="K98">
        <v>0</v>
      </c>
      <c r="L98">
        <v>0</v>
      </c>
      <c r="M98">
        <v>0</v>
      </c>
      <c r="O98" t="s">
        <v>551</v>
      </c>
      <c r="P98" t="s">
        <v>552</v>
      </c>
      <c r="Q98" t="s">
        <v>90</v>
      </c>
      <c r="R98" t="s">
        <v>553</v>
      </c>
      <c r="S98">
        <v>0</v>
      </c>
      <c r="T98">
        <v>10</v>
      </c>
      <c r="U98">
        <v>4</v>
      </c>
      <c r="V98">
        <v>1</v>
      </c>
      <c r="X98" t="s">
        <v>709</v>
      </c>
      <c r="Y98" t="s">
        <v>710</v>
      </c>
      <c r="Z98" t="s">
        <v>88</v>
      </c>
      <c r="AA98" t="s">
        <v>711</v>
      </c>
      <c r="AB98">
        <v>1</v>
      </c>
      <c r="AC98">
        <v>0</v>
      </c>
      <c r="AD98">
        <v>0</v>
      </c>
      <c r="AE98">
        <v>0</v>
      </c>
    </row>
    <row r="99" spans="6:31" x14ac:dyDescent="0.25">
      <c r="F99" t="s">
        <v>114</v>
      </c>
      <c r="G99" t="s">
        <v>88</v>
      </c>
      <c r="H99" t="s">
        <v>115</v>
      </c>
      <c r="I99" t="s">
        <v>116</v>
      </c>
      <c r="J99">
        <v>5</v>
      </c>
      <c r="K99">
        <v>0</v>
      </c>
      <c r="L99">
        <v>0</v>
      </c>
      <c r="M99">
        <v>0</v>
      </c>
      <c r="O99" t="s">
        <v>554</v>
      </c>
      <c r="P99" t="s">
        <v>555</v>
      </c>
      <c r="Q99" t="s">
        <v>88</v>
      </c>
      <c r="R99" t="s">
        <v>556</v>
      </c>
      <c r="S99">
        <v>2</v>
      </c>
      <c r="T99">
        <v>0</v>
      </c>
      <c r="U99">
        <v>0</v>
      </c>
      <c r="V99">
        <v>0</v>
      </c>
      <c r="X99" t="s">
        <v>712</v>
      </c>
      <c r="Y99" t="s">
        <v>713</v>
      </c>
      <c r="Z99" t="s">
        <v>88</v>
      </c>
      <c r="AA99" t="s">
        <v>714</v>
      </c>
      <c r="AB99">
        <v>1</v>
      </c>
      <c r="AC99">
        <v>0</v>
      </c>
      <c r="AD99">
        <v>0</v>
      </c>
      <c r="AE99">
        <v>0</v>
      </c>
    </row>
    <row r="100" spans="6:31" x14ac:dyDescent="0.25">
      <c r="F100" t="s">
        <v>117</v>
      </c>
      <c r="G100" t="s">
        <v>90</v>
      </c>
      <c r="H100" t="s">
        <v>118</v>
      </c>
      <c r="I100" t="s">
        <v>119</v>
      </c>
      <c r="J100">
        <v>5</v>
      </c>
      <c r="K100">
        <v>0</v>
      </c>
      <c r="L100">
        <v>0</v>
      </c>
      <c r="M100">
        <v>0</v>
      </c>
      <c r="O100" t="s">
        <v>557</v>
      </c>
      <c r="P100" t="s">
        <v>558</v>
      </c>
      <c r="Q100" t="s">
        <v>88</v>
      </c>
      <c r="R100" t="s">
        <v>559</v>
      </c>
      <c r="S100">
        <v>2</v>
      </c>
      <c r="T100">
        <v>0</v>
      </c>
      <c r="U100">
        <v>0</v>
      </c>
      <c r="V100">
        <v>0</v>
      </c>
      <c r="X100" t="s">
        <v>715</v>
      </c>
      <c r="Y100" t="s">
        <v>716</v>
      </c>
      <c r="Z100" t="s">
        <v>88</v>
      </c>
      <c r="AA100" t="s">
        <v>717</v>
      </c>
      <c r="AB100">
        <v>1</v>
      </c>
      <c r="AC100">
        <v>0</v>
      </c>
      <c r="AD100">
        <v>0</v>
      </c>
      <c r="AE100">
        <v>0</v>
      </c>
    </row>
    <row r="101" spans="6:31" x14ac:dyDescent="0.25">
      <c r="F101" t="s">
        <v>169</v>
      </c>
      <c r="G101" t="s">
        <v>88</v>
      </c>
      <c r="H101" t="s">
        <v>170</v>
      </c>
      <c r="I101" t="s">
        <v>171</v>
      </c>
      <c r="J101">
        <v>5</v>
      </c>
      <c r="K101">
        <v>0</v>
      </c>
      <c r="L101">
        <v>0</v>
      </c>
      <c r="M101">
        <v>0</v>
      </c>
      <c r="O101" t="s">
        <v>560</v>
      </c>
      <c r="P101" t="s">
        <v>561</v>
      </c>
      <c r="Q101" t="s">
        <v>88</v>
      </c>
      <c r="R101" t="s">
        <v>562</v>
      </c>
      <c r="S101">
        <v>1</v>
      </c>
      <c r="T101">
        <v>0</v>
      </c>
      <c r="U101">
        <v>0</v>
      </c>
      <c r="V101">
        <v>0</v>
      </c>
      <c r="X101" t="s">
        <v>718</v>
      </c>
      <c r="Y101" t="s">
        <v>719</v>
      </c>
      <c r="Z101" t="s">
        <v>88</v>
      </c>
      <c r="AA101" t="s">
        <v>720</v>
      </c>
      <c r="AB101">
        <v>1</v>
      </c>
      <c r="AC101">
        <v>0</v>
      </c>
      <c r="AD101">
        <v>0</v>
      </c>
      <c r="AE101">
        <v>0</v>
      </c>
    </row>
    <row r="102" spans="6:31" x14ac:dyDescent="0.25">
      <c r="F102" t="s">
        <v>279</v>
      </c>
      <c r="G102" t="s">
        <v>88</v>
      </c>
      <c r="H102" t="s">
        <v>280</v>
      </c>
      <c r="I102" t="s">
        <v>281</v>
      </c>
      <c r="J102">
        <v>5</v>
      </c>
      <c r="K102">
        <v>0</v>
      </c>
      <c r="L102">
        <v>0</v>
      </c>
      <c r="M102">
        <v>0</v>
      </c>
      <c r="O102" t="s">
        <v>563</v>
      </c>
      <c r="P102" t="s">
        <v>564</v>
      </c>
      <c r="Q102" t="s">
        <v>88</v>
      </c>
      <c r="R102" t="s">
        <v>565</v>
      </c>
      <c r="S102">
        <v>1</v>
      </c>
      <c r="T102">
        <v>0</v>
      </c>
      <c r="U102">
        <v>0</v>
      </c>
      <c r="V102">
        <v>0</v>
      </c>
      <c r="X102" t="s">
        <v>721</v>
      </c>
      <c r="Y102" t="s">
        <v>722</v>
      </c>
      <c r="Z102" t="s">
        <v>88</v>
      </c>
      <c r="AA102" t="s">
        <v>723</v>
      </c>
      <c r="AB102">
        <v>1</v>
      </c>
      <c r="AC102">
        <v>0</v>
      </c>
      <c r="AD102">
        <v>0</v>
      </c>
      <c r="AE102">
        <v>0</v>
      </c>
    </row>
    <row r="103" spans="6:31" x14ac:dyDescent="0.25">
      <c r="F103" t="s">
        <v>102</v>
      </c>
      <c r="G103" t="s">
        <v>88</v>
      </c>
      <c r="H103" t="s">
        <v>103</v>
      </c>
      <c r="I103" t="s">
        <v>104</v>
      </c>
      <c r="J103">
        <v>4</v>
      </c>
      <c r="K103">
        <v>0</v>
      </c>
      <c r="L103">
        <v>0</v>
      </c>
      <c r="M103">
        <v>0</v>
      </c>
      <c r="O103" t="s">
        <v>566</v>
      </c>
      <c r="P103" t="s">
        <v>567</v>
      </c>
      <c r="Q103" t="s">
        <v>88</v>
      </c>
      <c r="R103" t="s">
        <v>568</v>
      </c>
      <c r="S103">
        <v>1</v>
      </c>
      <c r="T103">
        <v>0</v>
      </c>
      <c r="U103">
        <v>0</v>
      </c>
      <c r="V103">
        <v>0</v>
      </c>
      <c r="X103" t="s">
        <v>724</v>
      </c>
      <c r="Y103" t="s">
        <v>725</v>
      </c>
      <c r="Z103" t="s">
        <v>88</v>
      </c>
      <c r="AA103" t="s">
        <v>726</v>
      </c>
      <c r="AB103">
        <v>1</v>
      </c>
      <c r="AC103">
        <v>0</v>
      </c>
      <c r="AD103">
        <v>0</v>
      </c>
      <c r="AE103">
        <v>0</v>
      </c>
    </row>
    <row r="104" spans="6:31" x14ac:dyDescent="0.25">
      <c r="F104" t="s">
        <v>270</v>
      </c>
      <c r="G104" t="s">
        <v>90</v>
      </c>
      <c r="H104" t="s">
        <v>271</v>
      </c>
      <c r="I104" t="s">
        <v>272</v>
      </c>
      <c r="J104">
        <v>4</v>
      </c>
      <c r="K104">
        <v>0</v>
      </c>
      <c r="L104">
        <v>0</v>
      </c>
      <c r="M104">
        <v>0</v>
      </c>
      <c r="O104" t="s">
        <v>569</v>
      </c>
      <c r="P104" t="s">
        <v>570</v>
      </c>
      <c r="Q104" t="s">
        <v>88</v>
      </c>
      <c r="R104" t="s">
        <v>571</v>
      </c>
      <c r="S104">
        <v>2</v>
      </c>
      <c r="T104">
        <v>0</v>
      </c>
      <c r="U104">
        <v>0</v>
      </c>
      <c r="V104">
        <v>0</v>
      </c>
      <c r="X104" t="s">
        <v>727</v>
      </c>
      <c r="Y104" t="s">
        <v>728</v>
      </c>
      <c r="Z104" t="s">
        <v>88</v>
      </c>
      <c r="AA104" t="s">
        <v>729</v>
      </c>
      <c r="AB104">
        <v>1</v>
      </c>
      <c r="AC104">
        <v>0</v>
      </c>
      <c r="AD104">
        <v>0</v>
      </c>
      <c r="AE104">
        <v>0</v>
      </c>
    </row>
    <row r="105" spans="6:31" x14ac:dyDescent="0.25">
      <c r="F105" t="s">
        <v>285</v>
      </c>
      <c r="G105" t="s">
        <v>90</v>
      </c>
      <c r="H105" t="s">
        <v>286</v>
      </c>
      <c r="I105" t="s">
        <v>287</v>
      </c>
      <c r="J105">
        <v>4</v>
      </c>
      <c r="K105">
        <v>0</v>
      </c>
      <c r="L105">
        <v>0</v>
      </c>
      <c r="M105">
        <v>0</v>
      </c>
      <c r="O105" t="s">
        <v>572</v>
      </c>
      <c r="P105" t="s">
        <v>573</v>
      </c>
      <c r="Q105" t="s">
        <v>88</v>
      </c>
      <c r="R105" t="s">
        <v>574</v>
      </c>
      <c r="S105">
        <v>2</v>
      </c>
      <c r="T105">
        <v>0</v>
      </c>
      <c r="U105">
        <v>0</v>
      </c>
      <c r="V105">
        <v>0</v>
      </c>
      <c r="X105" t="s">
        <v>730</v>
      </c>
      <c r="Y105" t="s">
        <v>731</v>
      </c>
      <c r="Z105" t="s">
        <v>90</v>
      </c>
      <c r="AA105" t="s">
        <v>732</v>
      </c>
      <c r="AB105">
        <v>3</v>
      </c>
      <c r="AC105">
        <v>0</v>
      </c>
      <c r="AD105">
        <v>0</v>
      </c>
      <c r="AE105">
        <v>0</v>
      </c>
    </row>
    <row r="106" spans="6:31" x14ac:dyDescent="0.25">
      <c r="F106" t="s">
        <v>98</v>
      </c>
      <c r="G106" t="s">
        <v>90</v>
      </c>
      <c r="H106" t="s">
        <v>36</v>
      </c>
      <c r="I106" t="s">
        <v>37</v>
      </c>
      <c r="J106">
        <v>3</v>
      </c>
      <c r="K106">
        <v>0</v>
      </c>
      <c r="L106">
        <v>0</v>
      </c>
      <c r="M106">
        <v>0</v>
      </c>
      <c r="O106" t="s">
        <v>575</v>
      </c>
      <c r="P106" t="s">
        <v>576</v>
      </c>
      <c r="Q106" t="s">
        <v>88</v>
      </c>
      <c r="R106" t="s">
        <v>577</v>
      </c>
      <c r="S106">
        <v>2</v>
      </c>
      <c r="T106">
        <v>0</v>
      </c>
      <c r="U106">
        <v>0</v>
      </c>
      <c r="V106">
        <v>0</v>
      </c>
      <c r="X106" t="s">
        <v>733</v>
      </c>
      <c r="Y106" t="s">
        <v>734</v>
      </c>
      <c r="Z106" t="s">
        <v>90</v>
      </c>
      <c r="AA106" t="s">
        <v>735</v>
      </c>
      <c r="AB106">
        <v>14</v>
      </c>
      <c r="AC106">
        <v>0</v>
      </c>
      <c r="AD106">
        <v>0</v>
      </c>
      <c r="AE106">
        <v>0</v>
      </c>
    </row>
    <row r="107" spans="6:31" x14ac:dyDescent="0.25">
      <c r="F107" t="s">
        <v>105</v>
      </c>
      <c r="G107" t="s">
        <v>88</v>
      </c>
      <c r="H107" t="s">
        <v>106</v>
      </c>
      <c r="I107" t="s">
        <v>107</v>
      </c>
      <c r="J107">
        <v>3</v>
      </c>
      <c r="K107">
        <v>0</v>
      </c>
      <c r="L107">
        <v>0</v>
      </c>
      <c r="M107">
        <v>0</v>
      </c>
      <c r="O107" t="s">
        <v>578</v>
      </c>
      <c r="P107" t="s">
        <v>579</v>
      </c>
      <c r="Q107" t="s">
        <v>88</v>
      </c>
      <c r="R107" t="s">
        <v>580</v>
      </c>
      <c r="S107">
        <v>1</v>
      </c>
      <c r="T107">
        <v>0</v>
      </c>
      <c r="U107">
        <v>0</v>
      </c>
      <c r="V107">
        <v>0</v>
      </c>
      <c r="X107" t="s">
        <v>736</v>
      </c>
      <c r="Y107" t="s">
        <v>737</v>
      </c>
      <c r="Z107" t="s">
        <v>90</v>
      </c>
      <c r="AA107" t="s">
        <v>738</v>
      </c>
      <c r="AB107">
        <v>4</v>
      </c>
      <c r="AC107">
        <v>0</v>
      </c>
      <c r="AD107">
        <v>0</v>
      </c>
      <c r="AE107">
        <v>0</v>
      </c>
    </row>
    <row r="108" spans="6:31" x14ac:dyDescent="0.25">
      <c r="F108" t="s">
        <v>273</v>
      </c>
      <c r="G108" t="s">
        <v>90</v>
      </c>
      <c r="H108" t="s">
        <v>274</v>
      </c>
      <c r="I108" t="s">
        <v>275</v>
      </c>
      <c r="J108">
        <v>3</v>
      </c>
      <c r="K108">
        <v>0</v>
      </c>
      <c r="L108">
        <v>0</v>
      </c>
      <c r="M108">
        <v>0</v>
      </c>
      <c r="O108" t="s">
        <v>581</v>
      </c>
      <c r="P108" t="s">
        <v>582</v>
      </c>
      <c r="Q108" t="s">
        <v>88</v>
      </c>
      <c r="R108" t="s">
        <v>583</v>
      </c>
      <c r="S108">
        <v>3</v>
      </c>
      <c r="T108">
        <v>0</v>
      </c>
      <c r="U108">
        <v>0</v>
      </c>
      <c r="V108">
        <v>0</v>
      </c>
      <c r="X108" t="s">
        <v>739</v>
      </c>
      <c r="Y108" t="s">
        <v>740</v>
      </c>
      <c r="Z108" t="s">
        <v>90</v>
      </c>
      <c r="AA108" t="s">
        <v>741</v>
      </c>
      <c r="AB108">
        <v>2</v>
      </c>
      <c r="AC108">
        <v>0</v>
      </c>
      <c r="AD108">
        <v>0</v>
      </c>
      <c r="AE108">
        <v>0</v>
      </c>
    </row>
    <row r="109" spans="6:31" x14ac:dyDescent="0.25">
      <c r="F109" t="s">
        <v>147</v>
      </c>
      <c r="G109" t="s">
        <v>88</v>
      </c>
      <c r="H109" t="s">
        <v>148</v>
      </c>
      <c r="I109" t="s">
        <v>149</v>
      </c>
      <c r="J109">
        <v>2</v>
      </c>
      <c r="K109">
        <v>0</v>
      </c>
      <c r="L109">
        <v>3</v>
      </c>
      <c r="M109">
        <v>1</v>
      </c>
      <c r="O109" t="s">
        <v>584</v>
      </c>
      <c r="P109" t="s">
        <v>585</v>
      </c>
      <c r="Q109" t="s">
        <v>88</v>
      </c>
      <c r="R109" t="s">
        <v>586</v>
      </c>
      <c r="S109">
        <v>1</v>
      </c>
      <c r="T109">
        <v>0</v>
      </c>
      <c r="U109">
        <v>0</v>
      </c>
      <c r="V109">
        <v>0</v>
      </c>
      <c r="X109" t="s">
        <v>742</v>
      </c>
      <c r="Y109" t="s">
        <v>743</v>
      </c>
      <c r="Z109" t="s">
        <v>90</v>
      </c>
      <c r="AA109" t="s">
        <v>744</v>
      </c>
      <c r="AB109">
        <v>22</v>
      </c>
      <c r="AC109">
        <v>0</v>
      </c>
      <c r="AD109">
        <v>0</v>
      </c>
      <c r="AE109">
        <v>0</v>
      </c>
    </row>
    <row r="110" spans="6:31" x14ac:dyDescent="0.25">
      <c r="F110" t="s">
        <v>204</v>
      </c>
      <c r="G110" t="s">
        <v>88</v>
      </c>
      <c r="H110" t="s">
        <v>205</v>
      </c>
      <c r="I110" t="s">
        <v>206</v>
      </c>
      <c r="J110">
        <v>2</v>
      </c>
      <c r="K110">
        <v>0</v>
      </c>
      <c r="L110">
        <v>0</v>
      </c>
      <c r="M110">
        <v>0</v>
      </c>
      <c r="O110" t="s">
        <v>587</v>
      </c>
      <c r="P110" t="s">
        <v>588</v>
      </c>
      <c r="Q110" t="s">
        <v>88</v>
      </c>
      <c r="R110" t="s">
        <v>589</v>
      </c>
      <c r="S110">
        <v>2</v>
      </c>
      <c r="T110">
        <v>0</v>
      </c>
      <c r="U110">
        <v>0</v>
      </c>
      <c r="V110">
        <v>0</v>
      </c>
      <c r="X110" t="s">
        <v>745</v>
      </c>
      <c r="Y110" t="s">
        <v>746</v>
      </c>
      <c r="Z110" t="s">
        <v>90</v>
      </c>
      <c r="AA110" t="s">
        <v>747</v>
      </c>
      <c r="AB110">
        <v>1</v>
      </c>
      <c r="AC110">
        <v>0</v>
      </c>
      <c r="AD110">
        <v>0</v>
      </c>
      <c r="AE110">
        <v>0</v>
      </c>
    </row>
    <row r="111" spans="6:31" x14ac:dyDescent="0.25">
      <c r="F111" t="s">
        <v>207</v>
      </c>
      <c r="G111" t="s">
        <v>90</v>
      </c>
      <c r="H111" t="s">
        <v>208</v>
      </c>
      <c r="I111" t="s">
        <v>209</v>
      </c>
      <c r="J111">
        <v>2</v>
      </c>
      <c r="K111">
        <v>0</v>
      </c>
      <c r="L111">
        <v>0</v>
      </c>
      <c r="M111">
        <v>0</v>
      </c>
      <c r="O111" t="s">
        <v>590</v>
      </c>
      <c r="P111" t="s">
        <v>591</v>
      </c>
      <c r="Q111" t="s">
        <v>88</v>
      </c>
      <c r="R111" t="s">
        <v>592</v>
      </c>
      <c r="S111">
        <v>1</v>
      </c>
      <c r="T111">
        <v>0</v>
      </c>
      <c r="U111">
        <v>0</v>
      </c>
      <c r="V111">
        <v>0</v>
      </c>
      <c r="X111" t="s">
        <v>787</v>
      </c>
      <c r="Y111" t="s">
        <v>788</v>
      </c>
      <c r="Z111" t="s">
        <v>90</v>
      </c>
      <c r="AA111" t="s">
        <v>789</v>
      </c>
      <c r="AB111">
        <v>1</v>
      </c>
      <c r="AC111">
        <v>0</v>
      </c>
      <c r="AD111">
        <v>0</v>
      </c>
      <c r="AE111">
        <v>0</v>
      </c>
    </row>
    <row r="112" spans="6:31" x14ac:dyDescent="0.25">
      <c r="F112" t="s">
        <v>227</v>
      </c>
      <c r="G112" t="s">
        <v>90</v>
      </c>
      <c r="H112" t="s">
        <v>228</v>
      </c>
      <c r="I112" t="s">
        <v>229</v>
      </c>
      <c r="J112">
        <v>2</v>
      </c>
      <c r="K112">
        <v>0</v>
      </c>
      <c r="L112">
        <v>0</v>
      </c>
      <c r="M112">
        <v>0</v>
      </c>
      <c r="O112" t="s">
        <v>593</v>
      </c>
      <c r="P112" t="s">
        <v>594</v>
      </c>
      <c r="Q112" t="s">
        <v>88</v>
      </c>
      <c r="R112" t="s">
        <v>595</v>
      </c>
      <c r="S112">
        <v>2</v>
      </c>
      <c r="T112">
        <v>0</v>
      </c>
      <c r="U112">
        <v>0</v>
      </c>
      <c r="V112">
        <v>0</v>
      </c>
      <c r="X112" t="s">
        <v>798</v>
      </c>
      <c r="Y112" t="s">
        <v>799</v>
      </c>
      <c r="Z112" t="s">
        <v>90</v>
      </c>
      <c r="AA112" t="s">
        <v>800</v>
      </c>
      <c r="AB112">
        <v>98</v>
      </c>
      <c r="AC112">
        <v>0</v>
      </c>
      <c r="AD112">
        <v>0</v>
      </c>
      <c r="AE112">
        <v>0</v>
      </c>
    </row>
    <row r="113" spans="6:31" x14ac:dyDescent="0.25">
      <c r="F113" t="s">
        <v>244</v>
      </c>
      <c r="G113" t="s">
        <v>88</v>
      </c>
      <c r="H113" t="s">
        <v>245</v>
      </c>
      <c r="I113" t="s">
        <v>246</v>
      </c>
      <c r="J113">
        <v>2</v>
      </c>
      <c r="K113">
        <v>0</v>
      </c>
      <c r="L113">
        <v>0</v>
      </c>
      <c r="M113">
        <v>0</v>
      </c>
      <c r="O113" t="s">
        <v>596</v>
      </c>
      <c r="P113" t="s">
        <v>597</v>
      </c>
      <c r="Q113" t="s">
        <v>88</v>
      </c>
      <c r="R113" t="s">
        <v>598</v>
      </c>
      <c r="S113">
        <v>1</v>
      </c>
      <c r="T113">
        <v>0</v>
      </c>
      <c r="U113">
        <v>0</v>
      </c>
      <c r="V113">
        <v>0</v>
      </c>
      <c r="X113" t="s">
        <v>837</v>
      </c>
      <c r="Y113" t="s">
        <v>838</v>
      </c>
      <c r="Z113" t="s">
        <v>88</v>
      </c>
      <c r="AA113" t="s">
        <v>839</v>
      </c>
      <c r="AB113">
        <v>0</v>
      </c>
      <c r="AC113">
        <v>0</v>
      </c>
      <c r="AD113">
        <v>1</v>
      </c>
      <c r="AE113">
        <v>0</v>
      </c>
    </row>
    <row r="114" spans="6:31" x14ac:dyDescent="0.25">
      <c r="F114" t="s">
        <v>247</v>
      </c>
      <c r="G114" t="s">
        <v>90</v>
      </c>
      <c r="H114" t="s">
        <v>248</v>
      </c>
      <c r="I114" t="s">
        <v>249</v>
      </c>
      <c r="J114">
        <v>2</v>
      </c>
      <c r="K114">
        <v>0</v>
      </c>
      <c r="L114">
        <v>0</v>
      </c>
      <c r="M114">
        <v>0</v>
      </c>
      <c r="O114" t="s">
        <v>599</v>
      </c>
      <c r="P114" t="s">
        <v>600</v>
      </c>
      <c r="Q114" t="s">
        <v>88</v>
      </c>
      <c r="R114" t="s">
        <v>601</v>
      </c>
      <c r="S114">
        <v>1</v>
      </c>
      <c r="T114">
        <v>0</v>
      </c>
      <c r="U114">
        <v>0</v>
      </c>
      <c r="V114">
        <v>0</v>
      </c>
      <c r="X114" t="s">
        <v>852</v>
      </c>
      <c r="Y114" t="s">
        <v>853</v>
      </c>
      <c r="Z114" t="s">
        <v>90</v>
      </c>
      <c r="AA114" t="s">
        <v>854</v>
      </c>
      <c r="AB114">
        <v>2</v>
      </c>
      <c r="AC114">
        <v>0</v>
      </c>
      <c r="AD114">
        <v>0</v>
      </c>
      <c r="AE114">
        <v>0</v>
      </c>
    </row>
    <row r="115" spans="6:31" x14ac:dyDescent="0.25">
      <c r="F115" t="s">
        <v>256</v>
      </c>
      <c r="G115" t="s">
        <v>90</v>
      </c>
      <c r="H115" t="s">
        <v>257</v>
      </c>
      <c r="I115" t="s">
        <v>258</v>
      </c>
      <c r="J115">
        <v>2</v>
      </c>
      <c r="K115">
        <v>0</v>
      </c>
      <c r="L115">
        <v>2</v>
      </c>
      <c r="M115">
        <v>0</v>
      </c>
      <c r="O115" t="s">
        <v>602</v>
      </c>
      <c r="P115" t="s">
        <v>603</v>
      </c>
      <c r="Q115" t="s">
        <v>88</v>
      </c>
      <c r="R115" t="s">
        <v>604</v>
      </c>
      <c r="S115">
        <v>3</v>
      </c>
      <c r="T115">
        <v>0</v>
      </c>
      <c r="U115">
        <v>0</v>
      </c>
      <c r="V115">
        <v>0</v>
      </c>
      <c r="X115" t="s">
        <v>855</v>
      </c>
      <c r="Y115" t="s">
        <v>856</v>
      </c>
      <c r="Z115" t="s">
        <v>90</v>
      </c>
      <c r="AA115" t="s">
        <v>857</v>
      </c>
      <c r="AB115">
        <v>1</v>
      </c>
      <c r="AC115">
        <v>0</v>
      </c>
      <c r="AD115">
        <v>0</v>
      </c>
      <c r="AE115">
        <v>0</v>
      </c>
    </row>
    <row r="116" spans="6:31" x14ac:dyDescent="0.25">
      <c r="F116" t="s">
        <v>261</v>
      </c>
      <c r="G116" t="s">
        <v>90</v>
      </c>
      <c r="H116" t="s">
        <v>262</v>
      </c>
      <c r="I116" t="s">
        <v>263</v>
      </c>
      <c r="J116">
        <v>2</v>
      </c>
      <c r="K116">
        <v>0</v>
      </c>
      <c r="L116">
        <v>0</v>
      </c>
      <c r="M116">
        <v>0</v>
      </c>
      <c r="O116" t="s">
        <v>605</v>
      </c>
      <c r="P116" t="s">
        <v>606</v>
      </c>
      <c r="Q116" t="s">
        <v>88</v>
      </c>
      <c r="R116" t="s">
        <v>607</v>
      </c>
      <c r="S116">
        <v>1</v>
      </c>
      <c r="T116">
        <v>0</v>
      </c>
      <c r="U116">
        <v>0</v>
      </c>
      <c r="V116">
        <v>0</v>
      </c>
      <c r="X116" t="s">
        <v>858</v>
      </c>
      <c r="Y116" t="s">
        <v>859</v>
      </c>
      <c r="Z116" t="s">
        <v>90</v>
      </c>
      <c r="AA116" t="s">
        <v>860</v>
      </c>
      <c r="AB116">
        <v>4</v>
      </c>
      <c r="AC116">
        <v>0</v>
      </c>
      <c r="AD116">
        <v>0</v>
      </c>
      <c r="AE116">
        <v>0</v>
      </c>
    </row>
    <row r="117" spans="6:31" x14ac:dyDescent="0.25">
      <c r="F117" t="s">
        <v>282</v>
      </c>
      <c r="G117" t="s">
        <v>90</v>
      </c>
      <c r="H117" t="s">
        <v>283</v>
      </c>
      <c r="I117" t="s">
        <v>284</v>
      </c>
      <c r="J117">
        <v>2</v>
      </c>
      <c r="K117">
        <v>0</v>
      </c>
      <c r="L117">
        <v>0</v>
      </c>
      <c r="M117">
        <v>0</v>
      </c>
      <c r="O117" t="s">
        <v>608</v>
      </c>
      <c r="P117" t="s">
        <v>609</v>
      </c>
      <c r="Q117" t="s">
        <v>88</v>
      </c>
      <c r="R117" t="s">
        <v>610</v>
      </c>
      <c r="S117">
        <v>2</v>
      </c>
      <c r="T117">
        <v>0</v>
      </c>
      <c r="U117">
        <v>0</v>
      </c>
      <c r="V117">
        <v>0</v>
      </c>
      <c r="X117" t="s">
        <v>870</v>
      </c>
      <c r="Y117" t="s">
        <v>871</v>
      </c>
      <c r="Z117" t="s">
        <v>90</v>
      </c>
      <c r="AA117" t="s">
        <v>872</v>
      </c>
      <c r="AB117">
        <v>3</v>
      </c>
      <c r="AC117">
        <v>0</v>
      </c>
      <c r="AD117">
        <v>0</v>
      </c>
      <c r="AE117">
        <v>0</v>
      </c>
    </row>
    <row r="118" spans="6:31" x14ac:dyDescent="0.25">
      <c r="F118" t="s">
        <v>314</v>
      </c>
      <c r="G118" t="s">
        <v>90</v>
      </c>
      <c r="H118" t="s">
        <v>315</v>
      </c>
      <c r="I118" t="s">
        <v>316</v>
      </c>
      <c r="J118">
        <v>2</v>
      </c>
      <c r="K118">
        <v>0</v>
      </c>
      <c r="L118">
        <v>0</v>
      </c>
      <c r="M118">
        <v>0</v>
      </c>
      <c r="O118" t="s">
        <v>611</v>
      </c>
      <c r="P118" t="s">
        <v>612</v>
      </c>
      <c r="Q118" t="s">
        <v>88</v>
      </c>
      <c r="R118" t="s">
        <v>613</v>
      </c>
      <c r="S118">
        <v>1</v>
      </c>
      <c r="T118">
        <v>0</v>
      </c>
      <c r="U118">
        <v>0</v>
      </c>
      <c r="V118">
        <v>0</v>
      </c>
      <c r="X118" t="s">
        <v>885</v>
      </c>
      <c r="Y118" t="s">
        <v>886</v>
      </c>
      <c r="Z118" t="s">
        <v>88</v>
      </c>
      <c r="AA118" t="s">
        <v>887</v>
      </c>
      <c r="AB118">
        <v>9</v>
      </c>
      <c r="AC118">
        <v>0</v>
      </c>
      <c r="AD118">
        <v>0</v>
      </c>
      <c r="AE118">
        <v>0</v>
      </c>
    </row>
    <row r="119" spans="6:31" x14ac:dyDescent="0.25">
      <c r="F119" t="s">
        <v>138</v>
      </c>
      <c r="G119" t="s">
        <v>88</v>
      </c>
      <c r="H119" t="s">
        <v>139</v>
      </c>
      <c r="I119" t="s">
        <v>140</v>
      </c>
      <c r="J119">
        <v>1</v>
      </c>
      <c r="K119">
        <v>0</v>
      </c>
      <c r="L119">
        <v>1</v>
      </c>
      <c r="M119">
        <v>0</v>
      </c>
      <c r="O119" t="s">
        <v>614</v>
      </c>
      <c r="P119" t="s">
        <v>615</v>
      </c>
      <c r="Q119" t="s">
        <v>88</v>
      </c>
      <c r="R119" t="s">
        <v>616</v>
      </c>
      <c r="S119">
        <v>4</v>
      </c>
      <c r="T119">
        <v>0</v>
      </c>
      <c r="U119">
        <v>0</v>
      </c>
      <c r="V119">
        <v>0</v>
      </c>
      <c r="X119" t="s">
        <v>888</v>
      </c>
      <c r="Y119" t="s">
        <v>889</v>
      </c>
      <c r="Z119" t="s">
        <v>90</v>
      </c>
      <c r="AA119" t="s">
        <v>890</v>
      </c>
      <c r="AB119">
        <v>0</v>
      </c>
      <c r="AC119">
        <v>0</v>
      </c>
      <c r="AD119">
        <v>0</v>
      </c>
      <c r="AE119">
        <v>1</v>
      </c>
    </row>
    <row r="120" spans="6:31" x14ac:dyDescent="0.25">
      <c r="F120" t="s">
        <v>350</v>
      </c>
      <c r="G120" t="s">
        <v>90</v>
      </c>
      <c r="H120" t="s">
        <v>351</v>
      </c>
      <c r="I120" t="s">
        <v>352</v>
      </c>
      <c r="J120">
        <v>1</v>
      </c>
      <c r="K120">
        <v>0</v>
      </c>
      <c r="L120">
        <v>2</v>
      </c>
      <c r="M120">
        <v>0</v>
      </c>
      <c r="O120" t="s">
        <v>617</v>
      </c>
      <c r="P120" t="s">
        <v>618</v>
      </c>
      <c r="Q120" t="s">
        <v>88</v>
      </c>
      <c r="R120" t="s">
        <v>619</v>
      </c>
      <c r="S120">
        <v>3</v>
      </c>
      <c r="T120">
        <v>0</v>
      </c>
      <c r="U120">
        <v>0</v>
      </c>
      <c r="V120">
        <v>0</v>
      </c>
      <c r="X120" t="s">
        <v>900</v>
      </c>
      <c r="Y120" t="s">
        <v>901</v>
      </c>
      <c r="Z120" t="s">
        <v>90</v>
      </c>
      <c r="AA120" t="s">
        <v>902</v>
      </c>
      <c r="AB120">
        <v>9</v>
      </c>
      <c r="AC120">
        <v>0</v>
      </c>
      <c r="AD120">
        <v>0</v>
      </c>
      <c r="AE120">
        <v>0</v>
      </c>
    </row>
    <row r="121" spans="6:31" x14ac:dyDescent="0.25">
      <c r="F121" t="s">
        <v>356</v>
      </c>
      <c r="G121" t="s">
        <v>90</v>
      </c>
      <c r="H121" t="s">
        <v>357</v>
      </c>
      <c r="I121" t="s">
        <v>358</v>
      </c>
      <c r="J121">
        <v>1</v>
      </c>
      <c r="K121">
        <v>0</v>
      </c>
      <c r="L121">
        <v>0</v>
      </c>
      <c r="M121">
        <v>0</v>
      </c>
      <c r="O121" t="s">
        <v>620</v>
      </c>
      <c r="P121" t="s">
        <v>621</v>
      </c>
      <c r="Q121" t="s">
        <v>88</v>
      </c>
      <c r="R121" t="s">
        <v>622</v>
      </c>
      <c r="S121">
        <v>5</v>
      </c>
      <c r="T121">
        <v>0</v>
      </c>
      <c r="U121">
        <v>0</v>
      </c>
      <c r="V121">
        <v>0</v>
      </c>
      <c r="X121" t="s">
        <v>903</v>
      </c>
      <c r="Y121" t="s">
        <v>904</v>
      </c>
      <c r="Z121" t="s">
        <v>90</v>
      </c>
      <c r="AA121" t="s">
        <v>905</v>
      </c>
      <c r="AB121">
        <v>1</v>
      </c>
      <c r="AC121">
        <v>0</v>
      </c>
      <c r="AD121">
        <v>0</v>
      </c>
      <c r="AE121">
        <v>0</v>
      </c>
    </row>
    <row r="122" spans="6:31" x14ac:dyDescent="0.25">
      <c r="F122" t="s">
        <v>359</v>
      </c>
      <c r="G122" t="s">
        <v>90</v>
      </c>
      <c r="H122" t="s">
        <v>360</v>
      </c>
      <c r="I122" t="s">
        <v>361</v>
      </c>
      <c r="J122">
        <v>1</v>
      </c>
      <c r="K122">
        <v>0</v>
      </c>
      <c r="L122">
        <v>0</v>
      </c>
      <c r="M122">
        <v>0</v>
      </c>
      <c r="O122" t="s">
        <v>623</v>
      </c>
      <c r="P122" t="s">
        <v>624</v>
      </c>
      <c r="Q122" t="s">
        <v>88</v>
      </c>
      <c r="R122" t="s">
        <v>625</v>
      </c>
      <c r="S122">
        <v>4</v>
      </c>
      <c r="T122">
        <v>0</v>
      </c>
      <c r="U122">
        <v>0</v>
      </c>
      <c r="V122">
        <v>0</v>
      </c>
      <c r="X122" t="s">
        <v>909</v>
      </c>
      <c r="Y122" t="s">
        <v>910</v>
      </c>
      <c r="Z122" t="s">
        <v>90</v>
      </c>
      <c r="AA122" t="s">
        <v>911</v>
      </c>
      <c r="AB122">
        <v>0</v>
      </c>
      <c r="AC122">
        <v>0</v>
      </c>
      <c r="AD122">
        <v>0</v>
      </c>
      <c r="AE122">
        <v>0</v>
      </c>
    </row>
    <row r="123" spans="6:31" x14ac:dyDescent="0.25">
      <c r="F123" t="s">
        <v>362</v>
      </c>
      <c r="G123" t="s">
        <v>90</v>
      </c>
      <c r="H123" t="s">
        <v>363</v>
      </c>
      <c r="I123" t="s">
        <v>364</v>
      </c>
      <c r="J123">
        <v>1</v>
      </c>
      <c r="K123">
        <v>0</v>
      </c>
      <c r="L123">
        <v>0</v>
      </c>
      <c r="M123">
        <v>0</v>
      </c>
      <c r="O123" t="s">
        <v>626</v>
      </c>
      <c r="P123" t="s">
        <v>627</v>
      </c>
      <c r="Q123" t="s">
        <v>88</v>
      </c>
      <c r="R123" t="s">
        <v>628</v>
      </c>
      <c r="S123">
        <v>3</v>
      </c>
      <c r="T123">
        <v>0</v>
      </c>
      <c r="U123">
        <v>0</v>
      </c>
      <c r="V123">
        <v>0</v>
      </c>
      <c r="X123" t="s">
        <v>918</v>
      </c>
      <c r="Y123" t="s">
        <v>919</v>
      </c>
      <c r="Z123" t="s">
        <v>90</v>
      </c>
      <c r="AA123" t="s">
        <v>920</v>
      </c>
      <c r="AB123">
        <v>10</v>
      </c>
      <c r="AC123">
        <v>0</v>
      </c>
      <c r="AD123">
        <v>0</v>
      </c>
      <c r="AE123">
        <v>0</v>
      </c>
    </row>
    <row r="124" spans="6:31" x14ac:dyDescent="0.25">
      <c r="F124" t="s">
        <v>210</v>
      </c>
      <c r="G124" t="s">
        <v>90</v>
      </c>
      <c r="H124" t="s">
        <v>211</v>
      </c>
      <c r="I124" t="s">
        <v>212</v>
      </c>
      <c r="J124">
        <v>0</v>
      </c>
      <c r="K124">
        <v>0</v>
      </c>
      <c r="L124">
        <v>1</v>
      </c>
      <c r="M124">
        <v>0</v>
      </c>
      <c r="O124" t="s">
        <v>629</v>
      </c>
      <c r="P124" t="s">
        <v>630</v>
      </c>
      <c r="Q124" t="s">
        <v>88</v>
      </c>
      <c r="R124" t="s">
        <v>631</v>
      </c>
      <c r="S124">
        <v>9</v>
      </c>
      <c r="T124">
        <v>0</v>
      </c>
      <c r="U124">
        <v>0</v>
      </c>
      <c r="V124">
        <v>0</v>
      </c>
      <c r="X124" t="s">
        <v>921</v>
      </c>
      <c r="Y124" t="s">
        <v>922</v>
      </c>
      <c r="Z124" t="s">
        <v>90</v>
      </c>
      <c r="AA124" t="s">
        <v>923</v>
      </c>
      <c r="AB124">
        <v>2</v>
      </c>
      <c r="AC124">
        <v>0</v>
      </c>
      <c r="AD124">
        <v>0</v>
      </c>
      <c r="AE124">
        <v>0</v>
      </c>
    </row>
    <row r="125" spans="6:31" x14ac:dyDescent="0.25">
      <c r="F125" t="s">
        <v>219</v>
      </c>
      <c r="G125" t="s">
        <v>88</v>
      </c>
      <c r="H125" t="s">
        <v>220</v>
      </c>
      <c r="I125" t="s">
        <v>221</v>
      </c>
      <c r="J125">
        <v>0</v>
      </c>
      <c r="K125">
        <v>0</v>
      </c>
      <c r="L125">
        <v>1</v>
      </c>
      <c r="M125">
        <v>0</v>
      </c>
      <c r="O125" t="s">
        <v>632</v>
      </c>
      <c r="P125" t="s">
        <v>633</v>
      </c>
      <c r="Q125" t="s">
        <v>88</v>
      </c>
      <c r="R125" t="s">
        <v>634</v>
      </c>
      <c r="S125">
        <v>1</v>
      </c>
      <c r="T125">
        <v>0</v>
      </c>
      <c r="U125">
        <v>0</v>
      </c>
      <c r="V125">
        <v>0</v>
      </c>
      <c r="X125" t="s">
        <v>930</v>
      </c>
      <c r="Y125" t="s">
        <v>931</v>
      </c>
      <c r="Z125" t="s">
        <v>90</v>
      </c>
      <c r="AA125" t="s">
        <v>932</v>
      </c>
      <c r="AB125">
        <v>1</v>
      </c>
      <c r="AC125">
        <v>0</v>
      </c>
      <c r="AD125">
        <v>0</v>
      </c>
      <c r="AE125">
        <v>0</v>
      </c>
    </row>
    <row r="126" spans="6:31" x14ac:dyDescent="0.25">
      <c r="F126" t="s">
        <v>335</v>
      </c>
      <c r="G126" t="s">
        <v>90</v>
      </c>
      <c r="H126" t="s">
        <v>336</v>
      </c>
      <c r="I126" t="s">
        <v>337</v>
      </c>
      <c r="J126">
        <v>0</v>
      </c>
      <c r="K126">
        <v>0</v>
      </c>
      <c r="L126">
        <v>1</v>
      </c>
      <c r="M126">
        <v>0</v>
      </c>
      <c r="O126" t="s">
        <v>635</v>
      </c>
      <c r="P126" t="s">
        <v>636</v>
      </c>
      <c r="Q126" t="s">
        <v>88</v>
      </c>
      <c r="R126" t="s">
        <v>637</v>
      </c>
      <c r="S126">
        <v>1</v>
      </c>
      <c r="T126">
        <v>0</v>
      </c>
      <c r="U126">
        <v>0</v>
      </c>
      <c r="V126">
        <v>0</v>
      </c>
      <c r="X126" t="s">
        <v>933</v>
      </c>
      <c r="Y126" t="s">
        <v>934</v>
      </c>
      <c r="Z126" t="s">
        <v>90</v>
      </c>
      <c r="AA126" t="s">
        <v>935</v>
      </c>
      <c r="AB126">
        <v>1</v>
      </c>
      <c r="AC126">
        <v>0</v>
      </c>
      <c r="AD126">
        <v>0</v>
      </c>
      <c r="AE126">
        <v>0</v>
      </c>
    </row>
  </sheetData>
  <mergeCells count="4">
    <mergeCell ref="C6:D6"/>
    <mergeCell ref="F6:M6"/>
    <mergeCell ref="O6:V6"/>
    <mergeCell ref="X6:AE6"/>
  </mergeCells>
  <hyperlinks>
    <hyperlink ref="D13" r:id="rId1" xr:uid="{43BB2910-0FA5-414B-BB8A-C4D65C83FC81}"/>
    <hyperlink ref="D10" r:id="rId2" xr:uid="{D6C77506-1CD4-4419-8501-1B6897A64F9D}"/>
    <hyperlink ref="G10" r:id="rId3" xr:uid="{51DE9F35-60B7-4606-AF64-54E7B24CC6E8}"/>
    <hyperlink ref="P12" r:id="rId4" xr:uid="{D4921D08-588A-4073-A648-0B9806FBCC2C}"/>
    <hyperlink ref="Y10" r:id="rId5" xr:uid="{29F21784-ADEA-4860-9FA3-F7F1E3D7B71A}"/>
  </hyperlinks>
  <pageMargins left="0.7" right="0.7" top="0.75" bottom="0.75" header="0.3" footer="0.3"/>
  <tableParts count="5">
    <tablePart r:id="rId6"/>
    <tablePart r:id="rId7"/>
    <tablePart r:id="rId8"/>
    <tablePart r:id="rId9"/>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1E645-2BDE-4C67-912D-61AACEE27490}">
  <dimension ref="B4:R116"/>
  <sheetViews>
    <sheetView showGridLines="0" zoomScale="85" zoomScaleNormal="85" workbookViewId="0">
      <selection activeCell="R36" sqref="R36"/>
    </sheetView>
  </sheetViews>
  <sheetFormatPr defaultRowHeight="15" x14ac:dyDescent="0.25"/>
  <cols>
    <col min="2" max="2" width="15.28515625" bestFit="1" customWidth="1"/>
    <col min="3" max="3" width="54.140625" bestFit="1" customWidth="1"/>
    <col min="5" max="5" width="19.28515625" customWidth="1"/>
    <col min="6" max="6" width="52.7109375" customWidth="1"/>
    <col min="8" max="8" width="20.28515625" bestFit="1" customWidth="1"/>
    <col min="9" max="9" width="38.85546875" bestFit="1" customWidth="1"/>
    <col min="10" max="10" width="20.85546875" bestFit="1" customWidth="1"/>
    <col min="12" max="12" width="20.28515625" bestFit="1" customWidth="1"/>
    <col min="13" max="13" width="108.85546875" customWidth="1"/>
    <col min="16" max="16" width="20.7109375" bestFit="1" customWidth="1"/>
    <col min="17" max="17" width="47.85546875" bestFit="1" customWidth="1"/>
    <col min="18" max="18" width="20.85546875" bestFit="1" customWidth="1"/>
  </cols>
  <sheetData>
    <row r="4" spans="2:18" x14ac:dyDescent="0.25">
      <c r="B4" s="15" t="s">
        <v>1232</v>
      </c>
      <c r="C4" s="15"/>
      <c r="E4" s="15" t="s">
        <v>1232</v>
      </c>
      <c r="F4" s="15"/>
      <c r="H4" s="15" t="s">
        <v>1235</v>
      </c>
      <c r="I4" s="15"/>
      <c r="J4" s="15"/>
      <c r="L4" s="15" t="s">
        <v>1243</v>
      </c>
      <c r="M4" s="15"/>
      <c r="N4" s="15"/>
      <c r="P4" s="15" t="s">
        <v>1257</v>
      </c>
      <c r="Q4" s="15"/>
      <c r="R4" s="15"/>
    </row>
    <row r="5" spans="2:18" x14ac:dyDescent="0.25">
      <c r="B5" s="3" t="s">
        <v>949</v>
      </c>
      <c r="E5" s="3" t="s">
        <v>1237</v>
      </c>
    </row>
    <row r="6" spans="2:18" x14ac:dyDescent="0.25">
      <c r="H6" t="s">
        <v>947</v>
      </c>
      <c r="I6" s="19" t="s">
        <v>1236</v>
      </c>
      <c r="J6" s="19"/>
      <c r="L6" t="s">
        <v>947</v>
      </c>
      <c r="M6" s="17" t="s">
        <v>1241</v>
      </c>
      <c r="P6" t="s">
        <v>947</v>
      </c>
      <c r="R6" s="18" t="s">
        <v>1260</v>
      </c>
    </row>
    <row r="7" spans="2:18" x14ac:dyDescent="0.25">
      <c r="B7" s="1" t="s">
        <v>945</v>
      </c>
      <c r="E7" t="s">
        <v>1238</v>
      </c>
      <c r="I7" s="19"/>
      <c r="J7" s="19"/>
      <c r="M7" s="17"/>
      <c r="R7" s="17"/>
    </row>
    <row r="9" spans="2:18" x14ac:dyDescent="0.25">
      <c r="B9" s="3" t="s">
        <v>950</v>
      </c>
    </row>
    <row r="11" spans="2:18" x14ac:dyDescent="0.25">
      <c r="B11" t="s">
        <v>947</v>
      </c>
      <c r="C11" s="19" t="s">
        <v>946</v>
      </c>
      <c r="E11" t="s">
        <v>947</v>
      </c>
      <c r="F11" s="19" t="s">
        <v>1240</v>
      </c>
    </row>
    <row r="12" spans="2:18" x14ac:dyDescent="0.25">
      <c r="C12" s="19"/>
      <c r="E12" s="14"/>
      <c r="F12" s="19"/>
    </row>
    <row r="13" spans="2:18" x14ac:dyDescent="0.25">
      <c r="B13" t="s">
        <v>948</v>
      </c>
      <c r="E13" t="s">
        <v>948</v>
      </c>
      <c r="H13" t="s">
        <v>948</v>
      </c>
      <c r="L13" t="s">
        <v>948</v>
      </c>
      <c r="P13" t="s">
        <v>948</v>
      </c>
    </row>
    <row r="14" spans="2:18" x14ac:dyDescent="0.25">
      <c r="B14" s="19" t="s">
        <v>1233</v>
      </c>
      <c r="C14" s="19"/>
      <c r="E14" s="19" t="s">
        <v>1234</v>
      </c>
      <c r="F14" s="19"/>
      <c r="H14" s="1" t="s">
        <v>1239</v>
      </c>
      <c r="L14" s="1" t="s">
        <v>1242</v>
      </c>
      <c r="P14" s="1" t="s">
        <v>1259</v>
      </c>
    </row>
    <row r="15" spans="2:18" x14ac:dyDescent="0.25">
      <c r="B15" s="19"/>
      <c r="C15" s="19"/>
    </row>
    <row r="20" spans="2:18" x14ac:dyDescent="0.25">
      <c r="B20" s="3" t="s">
        <v>52</v>
      </c>
      <c r="H20" s="3" t="s">
        <v>52</v>
      </c>
      <c r="L20" s="3" t="s">
        <v>52</v>
      </c>
      <c r="P20" s="3" t="s">
        <v>52</v>
      </c>
    </row>
    <row r="21" spans="2:18" x14ac:dyDescent="0.25">
      <c r="B21" t="s">
        <v>6</v>
      </c>
      <c r="C21" t="s">
        <v>7</v>
      </c>
      <c r="H21" t="s">
        <v>16</v>
      </c>
      <c r="I21" t="s">
        <v>65</v>
      </c>
      <c r="J21" t="s">
        <v>66</v>
      </c>
      <c r="L21" t="s">
        <v>16</v>
      </c>
      <c r="M21" t="s">
        <v>17</v>
      </c>
      <c r="P21" t="s">
        <v>16</v>
      </c>
      <c r="Q21" t="s">
        <v>65</v>
      </c>
      <c r="R21" t="s">
        <v>66</v>
      </c>
    </row>
    <row r="22" spans="2:18" x14ac:dyDescent="0.25">
      <c r="B22" t="s">
        <v>1231</v>
      </c>
      <c r="C22" t="s">
        <v>1230</v>
      </c>
      <c r="H22" t="s">
        <v>951</v>
      </c>
      <c r="I22" t="s">
        <v>952</v>
      </c>
      <c r="J22" t="s">
        <v>953</v>
      </c>
      <c r="L22" t="s">
        <v>1244</v>
      </c>
      <c r="M22" t="s">
        <v>1245</v>
      </c>
      <c r="P22" t="s">
        <v>1261</v>
      </c>
      <c r="Q22" t="s">
        <v>1262</v>
      </c>
      <c r="R22" t="s">
        <v>1263</v>
      </c>
    </row>
    <row r="23" spans="2:18" x14ac:dyDescent="0.25">
      <c r="B23" t="s">
        <v>1228</v>
      </c>
      <c r="C23" t="s">
        <v>1229</v>
      </c>
      <c r="H23" t="s">
        <v>954</v>
      </c>
      <c r="I23" t="s">
        <v>955</v>
      </c>
      <c r="J23" t="s">
        <v>956</v>
      </c>
      <c r="L23" t="s">
        <v>1246</v>
      </c>
      <c r="M23" t="s">
        <v>1247</v>
      </c>
      <c r="P23" t="s">
        <v>969</v>
      </c>
      <c r="Q23" t="s">
        <v>970</v>
      </c>
      <c r="R23" t="s">
        <v>971</v>
      </c>
    </row>
    <row r="24" spans="2:18" x14ac:dyDescent="0.25">
      <c r="B24" t="s">
        <v>8</v>
      </c>
      <c r="C24" t="s">
        <v>1230</v>
      </c>
      <c r="H24" t="s">
        <v>957</v>
      </c>
      <c r="I24" t="s">
        <v>958</v>
      </c>
      <c r="J24" t="s">
        <v>959</v>
      </c>
      <c r="L24" t="s">
        <v>1248</v>
      </c>
      <c r="M24" t="s">
        <v>1249</v>
      </c>
      <c r="N24" t="s">
        <v>1258</v>
      </c>
      <c r="P24" t="s">
        <v>1264</v>
      </c>
      <c r="Q24" t="s">
        <v>1265</v>
      </c>
      <c r="R24" t="s">
        <v>1266</v>
      </c>
    </row>
    <row r="25" spans="2:18" x14ac:dyDescent="0.25">
      <c r="B25" t="s">
        <v>1227</v>
      </c>
      <c r="C25" t="s">
        <v>9</v>
      </c>
      <c r="H25" t="s">
        <v>960</v>
      </c>
      <c r="I25" t="s">
        <v>961</v>
      </c>
      <c r="J25" t="s">
        <v>962</v>
      </c>
      <c r="L25" t="s">
        <v>1250</v>
      </c>
      <c r="M25" t="s">
        <v>1251</v>
      </c>
      <c r="P25" t="s">
        <v>1267</v>
      </c>
      <c r="Q25" t="s">
        <v>1268</v>
      </c>
      <c r="R25" t="s">
        <v>1269</v>
      </c>
    </row>
    <row r="26" spans="2:18" x14ac:dyDescent="0.25">
      <c r="H26" t="s">
        <v>963</v>
      </c>
      <c r="I26" t="s">
        <v>964</v>
      </c>
      <c r="J26" t="s">
        <v>965</v>
      </c>
      <c r="L26">
        <v>1.4581150133406899E+18</v>
      </c>
      <c r="M26" t="s">
        <v>1251</v>
      </c>
      <c r="P26" t="s">
        <v>1032</v>
      </c>
      <c r="Q26" t="s">
        <v>1033</v>
      </c>
      <c r="R26" t="s">
        <v>1034</v>
      </c>
    </row>
    <row r="27" spans="2:18" x14ac:dyDescent="0.25">
      <c r="H27" t="s">
        <v>966</v>
      </c>
      <c r="I27" t="s">
        <v>967</v>
      </c>
      <c r="J27" t="s">
        <v>968</v>
      </c>
      <c r="L27">
        <v>1.45810165257411E+18</v>
      </c>
      <c r="M27" t="s">
        <v>1251</v>
      </c>
      <c r="P27" t="s">
        <v>1270</v>
      </c>
      <c r="Q27" t="s">
        <v>1271</v>
      </c>
      <c r="R27" t="s">
        <v>1272</v>
      </c>
    </row>
    <row r="28" spans="2:18" x14ac:dyDescent="0.25">
      <c r="H28" t="s">
        <v>969</v>
      </c>
      <c r="I28" t="s">
        <v>970</v>
      </c>
      <c r="J28" t="s">
        <v>971</v>
      </c>
      <c r="L28" t="s">
        <v>1252</v>
      </c>
      <c r="M28" t="s">
        <v>1251</v>
      </c>
      <c r="P28" t="s">
        <v>1273</v>
      </c>
      <c r="Q28" t="s">
        <v>1274</v>
      </c>
      <c r="R28" t="s">
        <v>1275</v>
      </c>
    </row>
    <row r="29" spans="2:18" x14ac:dyDescent="0.25">
      <c r="H29" t="s">
        <v>972</v>
      </c>
      <c r="I29" t="s">
        <v>973</v>
      </c>
      <c r="J29" t="s">
        <v>974</v>
      </c>
      <c r="L29" t="s">
        <v>1253</v>
      </c>
      <c r="M29" t="s">
        <v>1251</v>
      </c>
      <c r="P29" t="s">
        <v>1065</v>
      </c>
      <c r="Q29" t="s">
        <v>1066</v>
      </c>
      <c r="R29" t="s">
        <v>1067</v>
      </c>
    </row>
    <row r="30" spans="2:18" x14ac:dyDescent="0.25">
      <c r="H30" t="s">
        <v>975</v>
      </c>
      <c r="I30" t="s">
        <v>976</v>
      </c>
      <c r="J30" t="s">
        <v>977</v>
      </c>
      <c r="L30" t="s">
        <v>1254</v>
      </c>
      <c r="M30" t="s">
        <v>1251</v>
      </c>
      <c r="P30" t="s">
        <v>1077</v>
      </c>
      <c r="Q30" t="s">
        <v>1078</v>
      </c>
      <c r="R30" t="s">
        <v>1079</v>
      </c>
    </row>
    <row r="31" spans="2:18" x14ac:dyDescent="0.25">
      <c r="H31" t="s">
        <v>978</v>
      </c>
      <c r="I31" t="s">
        <v>979</v>
      </c>
      <c r="J31" t="s">
        <v>980</v>
      </c>
      <c r="L31" t="s">
        <v>1255</v>
      </c>
      <c r="M31" t="s">
        <v>1256</v>
      </c>
      <c r="P31" t="s">
        <v>1276</v>
      </c>
      <c r="Q31" t="s">
        <v>1277</v>
      </c>
      <c r="R31" t="s">
        <v>1278</v>
      </c>
    </row>
    <row r="32" spans="2:18" x14ac:dyDescent="0.25">
      <c r="H32" t="s">
        <v>981</v>
      </c>
      <c r="I32" t="s">
        <v>982</v>
      </c>
      <c r="J32" t="s">
        <v>983</v>
      </c>
      <c r="P32" t="s">
        <v>1279</v>
      </c>
      <c r="Q32" t="s">
        <v>1280</v>
      </c>
      <c r="R32" t="s">
        <v>1281</v>
      </c>
    </row>
    <row r="33" spans="8:18" x14ac:dyDescent="0.25">
      <c r="H33" t="s">
        <v>984</v>
      </c>
      <c r="I33" t="s">
        <v>985</v>
      </c>
      <c r="J33" t="s">
        <v>986</v>
      </c>
      <c r="P33" t="s">
        <v>1282</v>
      </c>
      <c r="Q33" t="s">
        <v>1283</v>
      </c>
      <c r="R33" t="s">
        <v>1284</v>
      </c>
    </row>
    <row r="34" spans="8:18" x14ac:dyDescent="0.25">
      <c r="H34" t="s">
        <v>987</v>
      </c>
      <c r="I34" t="s">
        <v>988</v>
      </c>
      <c r="J34" t="s">
        <v>989</v>
      </c>
      <c r="P34" t="s">
        <v>1285</v>
      </c>
      <c r="Q34" t="s">
        <v>1286</v>
      </c>
      <c r="R34" t="s">
        <v>1287</v>
      </c>
    </row>
    <row r="35" spans="8:18" x14ac:dyDescent="0.25">
      <c r="H35" t="s">
        <v>990</v>
      </c>
      <c r="I35" t="s">
        <v>991</v>
      </c>
      <c r="J35" t="s">
        <v>992</v>
      </c>
      <c r="P35" t="s">
        <v>1288</v>
      </c>
      <c r="Q35" t="s">
        <v>1289</v>
      </c>
      <c r="R35" t="s">
        <v>1290</v>
      </c>
    </row>
    <row r="36" spans="8:18" x14ac:dyDescent="0.25">
      <c r="H36" t="s">
        <v>993</v>
      </c>
      <c r="I36" t="s">
        <v>994</v>
      </c>
      <c r="J36" t="s">
        <v>995</v>
      </c>
      <c r="P36" t="s">
        <v>1291</v>
      </c>
      <c r="Q36" t="s">
        <v>1292</v>
      </c>
      <c r="R36" t="s">
        <v>1293</v>
      </c>
    </row>
    <row r="37" spans="8:18" x14ac:dyDescent="0.25">
      <c r="H37" t="s">
        <v>996</v>
      </c>
      <c r="I37" t="s">
        <v>997</v>
      </c>
      <c r="J37" t="s">
        <v>998</v>
      </c>
      <c r="P37" t="s">
        <v>1215</v>
      </c>
      <c r="Q37" t="s">
        <v>1216</v>
      </c>
      <c r="R37" t="s">
        <v>1217</v>
      </c>
    </row>
    <row r="38" spans="8:18" x14ac:dyDescent="0.25">
      <c r="H38" t="s">
        <v>999</v>
      </c>
      <c r="I38" t="s">
        <v>1000</v>
      </c>
      <c r="J38" t="s">
        <v>1001</v>
      </c>
      <c r="P38" t="s">
        <v>1294</v>
      </c>
      <c r="Q38" t="s">
        <v>1295</v>
      </c>
      <c r="R38" t="s">
        <v>1296</v>
      </c>
    </row>
    <row r="39" spans="8:18" x14ac:dyDescent="0.25">
      <c r="H39" t="s">
        <v>1002</v>
      </c>
      <c r="I39" t="s">
        <v>1003</v>
      </c>
      <c r="J39" t="s">
        <v>1004</v>
      </c>
      <c r="P39" t="s">
        <v>1297</v>
      </c>
      <c r="Q39" t="s">
        <v>1298</v>
      </c>
      <c r="R39" t="s">
        <v>1299</v>
      </c>
    </row>
    <row r="40" spans="8:18" x14ac:dyDescent="0.25">
      <c r="H40" t="s">
        <v>1005</v>
      </c>
      <c r="I40" t="s">
        <v>1006</v>
      </c>
      <c r="J40" t="s">
        <v>1007</v>
      </c>
      <c r="P40" t="s">
        <v>1300</v>
      </c>
      <c r="Q40" t="s">
        <v>1301</v>
      </c>
      <c r="R40" t="s">
        <v>1302</v>
      </c>
    </row>
    <row r="41" spans="8:18" x14ac:dyDescent="0.25">
      <c r="H41" t="s">
        <v>1008</v>
      </c>
      <c r="I41" t="s">
        <v>1009</v>
      </c>
      <c r="J41" t="s">
        <v>1010</v>
      </c>
      <c r="P41" t="s">
        <v>1303</v>
      </c>
      <c r="Q41" t="s">
        <v>1304</v>
      </c>
      <c r="R41" t="s">
        <v>1305</v>
      </c>
    </row>
    <row r="42" spans="8:18" x14ac:dyDescent="0.25">
      <c r="H42" t="s">
        <v>1011</v>
      </c>
      <c r="I42" t="s">
        <v>1012</v>
      </c>
      <c r="J42" t="s">
        <v>1013</v>
      </c>
      <c r="P42" t="s">
        <v>1306</v>
      </c>
      <c r="Q42" t="s">
        <v>1307</v>
      </c>
      <c r="R42" t="s">
        <v>1308</v>
      </c>
    </row>
    <row r="43" spans="8:18" x14ac:dyDescent="0.25">
      <c r="H43" t="s">
        <v>1014</v>
      </c>
      <c r="I43" t="s">
        <v>1015</v>
      </c>
      <c r="J43" t="s">
        <v>1016</v>
      </c>
      <c r="P43" t="s">
        <v>1309</v>
      </c>
      <c r="Q43" t="s">
        <v>1310</v>
      </c>
      <c r="R43" t="s">
        <v>1311</v>
      </c>
    </row>
    <row r="44" spans="8:18" x14ac:dyDescent="0.25">
      <c r="H44" t="s">
        <v>1017</v>
      </c>
      <c r="I44" t="s">
        <v>1018</v>
      </c>
      <c r="J44" t="s">
        <v>1019</v>
      </c>
      <c r="P44" t="s">
        <v>1312</v>
      </c>
      <c r="Q44" t="s">
        <v>1313</v>
      </c>
      <c r="R44" t="s">
        <v>1314</v>
      </c>
    </row>
    <row r="45" spans="8:18" x14ac:dyDescent="0.25">
      <c r="H45" t="s">
        <v>1020</v>
      </c>
      <c r="I45" t="s">
        <v>1021</v>
      </c>
      <c r="J45" t="s">
        <v>1022</v>
      </c>
      <c r="P45" t="s">
        <v>1315</v>
      </c>
      <c r="Q45" t="s">
        <v>1316</v>
      </c>
      <c r="R45" t="s">
        <v>1317</v>
      </c>
    </row>
    <row r="46" spans="8:18" x14ac:dyDescent="0.25">
      <c r="H46" t="s">
        <v>1023</v>
      </c>
      <c r="I46" t="s">
        <v>1024</v>
      </c>
      <c r="J46" t="s">
        <v>1025</v>
      </c>
      <c r="P46" t="s">
        <v>1318</v>
      </c>
      <c r="Q46" t="s">
        <v>1319</v>
      </c>
      <c r="R46" t="s">
        <v>1320</v>
      </c>
    </row>
    <row r="47" spans="8:18" x14ac:dyDescent="0.25">
      <c r="H47" t="s">
        <v>1026</v>
      </c>
      <c r="I47" t="s">
        <v>1027</v>
      </c>
      <c r="J47" t="s">
        <v>1028</v>
      </c>
      <c r="P47" t="s">
        <v>1321</v>
      </c>
      <c r="Q47" t="s">
        <v>1322</v>
      </c>
      <c r="R47" t="s">
        <v>1323</v>
      </c>
    </row>
    <row r="48" spans="8:18" x14ac:dyDescent="0.25">
      <c r="H48" t="s">
        <v>1029</v>
      </c>
      <c r="I48" t="s">
        <v>1030</v>
      </c>
      <c r="J48" t="s">
        <v>1031</v>
      </c>
      <c r="P48" t="s">
        <v>1324</v>
      </c>
      <c r="Q48" t="s">
        <v>1325</v>
      </c>
      <c r="R48" t="s">
        <v>1326</v>
      </c>
    </row>
    <row r="49" spans="8:18" x14ac:dyDescent="0.25">
      <c r="H49" t="s">
        <v>1032</v>
      </c>
      <c r="I49" t="s">
        <v>1033</v>
      </c>
      <c r="J49" t="s">
        <v>1034</v>
      </c>
      <c r="P49" t="s">
        <v>1327</v>
      </c>
      <c r="Q49" t="s">
        <v>1328</v>
      </c>
      <c r="R49" t="s">
        <v>1328</v>
      </c>
    </row>
    <row r="50" spans="8:18" x14ac:dyDescent="0.25">
      <c r="H50" t="s">
        <v>1035</v>
      </c>
      <c r="I50" t="s">
        <v>1036</v>
      </c>
      <c r="J50" t="s">
        <v>1037</v>
      </c>
      <c r="P50" t="s">
        <v>1329</v>
      </c>
      <c r="Q50" t="s">
        <v>1330</v>
      </c>
      <c r="R50" t="s">
        <v>1331</v>
      </c>
    </row>
    <row r="51" spans="8:18" x14ac:dyDescent="0.25">
      <c r="H51" t="s">
        <v>1038</v>
      </c>
      <c r="I51" t="s">
        <v>1039</v>
      </c>
      <c r="J51" t="s">
        <v>1040</v>
      </c>
      <c r="P51" t="s">
        <v>1332</v>
      </c>
      <c r="Q51" t="s">
        <v>1333</v>
      </c>
      <c r="R51" t="s">
        <v>1334</v>
      </c>
    </row>
    <row r="52" spans="8:18" x14ac:dyDescent="0.25">
      <c r="H52" t="s">
        <v>1041</v>
      </c>
      <c r="I52" t="s">
        <v>1042</v>
      </c>
      <c r="J52" t="s">
        <v>1043</v>
      </c>
      <c r="P52" t="s">
        <v>1335</v>
      </c>
      <c r="Q52" t="s">
        <v>1336</v>
      </c>
      <c r="R52" t="s">
        <v>1337</v>
      </c>
    </row>
    <row r="53" spans="8:18" x14ac:dyDescent="0.25">
      <c r="H53" t="s">
        <v>1044</v>
      </c>
      <c r="I53" t="s">
        <v>1045</v>
      </c>
      <c r="J53" t="s">
        <v>1046</v>
      </c>
      <c r="P53" t="s">
        <v>1338</v>
      </c>
      <c r="Q53" t="s">
        <v>1339</v>
      </c>
      <c r="R53" t="s">
        <v>1340</v>
      </c>
    </row>
    <row r="54" spans="8:18" x14ac:dyDescent="0.25">
      <c r="H54" t="s">
        <v>1047</v>
      </c>
      <c r="I54" t="s">
        <v>1048</v>
      </c>
      <c r="J54" t="s">
        <v>1049</v>
      </c>
      <c r="P54" t="s">
        <v>1341</v>
      </c>
      <c r="Q54" t="s">
        <v>1342</v>
      </c>
      <c r="R54" t="s">
        <v>1343</v>
      </c>
    </row>
    <row r="55" spans="8:18" x14ac:dyDescent="0.25">
      <c r="H55" t="s">
        <v>1050</v>
      </c>
      <c r="I55" t="s">
        <v>1051</v>
      </c>
      <c r="J55" t="s">
        <v>1052</v>
      </c>
      <c r="P55" t="s">
        <v>1344</v>
      </c>
      <c r="Q55" t="s">
        <v>1345</v>
      </c>
      <c r="R55" t="s">
        <v>1346</v>
      </c>
    </row>
    <row r="56" spans="8:18" x14ac:dyDescent="0.25">
      <c r="H56" t="s">
        <v>1053</v>
      </c>
      <c r="I56" t="s">
        <v>1054</v>
      </c>
      <c r="J56" t="s">
        <v>1055</v>
      </c>
      <c r="P56" t="s">
        <v>1347</v>
      </c>
      <c r="Q56" t="s">
        <v>1348</v>
      </c>
      <c r="R56" t="s">
        <v>1348</v>
      </c>
    </row>
    <row r="57" spans="8:18" x14ac:dyDescent="0.25">
      <c r="H57" t="s">
        <v>1056</v>
      </c>
      <c r="I57" t="s">
        <v>1057</v>
      </c>
      <c r="J57" t="s">
        <v>1058</v>
      </c>
      <c r="P57" t="s">
        <v>1349</v>
      </c>
      <c r="Q57" t="s">
        <v>1350</v>
      </c>
      <c r="R57" t="s">
        <v>1351</v>
      </c>
    </row>
    <row r="58" spans="8:18" x14ac:dyDescent="0.25">
      <c r="H58" t="s">
        <v>1059</v>
      </c>
      <c r="I58" t="s">
        <v>1060</v>
      </c>
      <c r="J58" t="s">
        <v>1061</v>
      </c>
      <c r="P58" t="s">
        <v>1352</v>
      </c>
      <c r="Q58" t="s">
        <v>1353</v>
      </c>
      <c r="R58" t="s">
        <v>1354</v>
      </c>
    </row>
    <row r="59" spans="8:18" x14ac:dyDescent="0.25">
      <c r="H59" t="s">
        <v>1062</v>
      </c>
      <c r="I59" t="s">
        <v>1063</v>
      </c>
      <c r="J59" t="s">
        <v>1064</v>
      </c>
      <c r="P59" t="s">
        <v>1355</v>
      </c>
      <c r="Q59" t="s">
        <v>1356</v>
      </c>
      <c r="R59" t="s">
        <v>1357</v>
      </c>
    </row>
    <row r="60" spans="8:18" x14ac:dyDescent="0.25">
      <c r="H60" t="s">
        <v>1065</v>
      </c>
      <c r="I60" t="s">
        <v>1066</v>
      </c>
      <c r="J60" t="s">
        <v>1067</v>
      </c>
      <c r="P60" t="s">
        <v>1358</v>
      </c>
      <c r="Q60" t="s">
        <v>1359</v>
      </c>
      <c r="R60" t="s">
        <v>1360</v>
      </c>
    </row>
    <row r="61" spans="8:18" x14ac:dyDescent="0.25">
      <c r="H61" t="s">
        <v>1068</v>
      </c>
      <c r="I61" t="s">
        <v>1069</v>
      </c>
      <c r="J61" t="s">
        <v>1070</v>
      </c>
      <c r="P61" t="s">
        <v>1361</v>
      </c>
      <c r="Q61" t="s">
        <v>1362</v>
      </c>
      <c r="R61" t="s">
        <v>1363</v>
      </c>
    </row>
    <row r="62" spans="8:18" x14ac:dyDescent="0.25">
      <c r="H62" t="s">
        <v>1071</v>
      </c>
      <c r="I62" t="s">
        <v>1072</v>
      </c>
      <c r="J62" t="s">
        <v>1073</v>
      </c>
      <c r="P62" t="s">
        <v>1364</v>
      </c>
      <c r="Q62" t="s">
        <v>1365</v>
      </c>
      <c r="R62" t="s">
        <v>1366</v>
      </c>
    </row>
    <row r="63" spans="8:18" x14ac:dyDescent="0.25">
      <c r="H63" t="s">
        <v>1074</v>
      </c>
      <c r="I63" t="s">
        <v>1075</v>
      </c>
      <c r="J63" t="s">
        <v>1076</v>
      </c>
      <c r="P63" t="s">
        <v>1367</v>
      </c>
      <c r="Q63" t="s">
        <v>1368</v>
      </c>
      <c r="R63" t="s">
        <v>1369</v>
      </c>
    </row>
    <row r="64" spans="8:18" x14ac:dyDescent="0.25">
      <c r="H64" t="s">
        <v>1077</v>
      </c>
      <c r="I64" t="s">
        <v>1078</v>
      </c>
      <c r="J64" t="s">
        <v>1079</v>
      </c>
      <c r="P64" t="s">
        <v>1370</v>
      </c>
      <c r="Q64" t="s">
        <v>1371</v>
      </c>
      <c r="R64" t="s">
        <v>1372</v>
      </c>
    </row>
    <row r="65" spans="8:18" x14ac:dyDescent="0.25">
      <c r="H65" t="s">
        <v>1080</v>
      </c>
      <c r="I65" t="s">
        <v>1081</v>
      </c>
      <c r="J65" t="s">
        <v>1082</v>
      </c>
      <c r="P65" t="s">
        <v>1373</v>
      </c>
      <c r="Q65" t="s">
        <v>1374</v>
      </c>
      <c r="R65" t="s">
        <v>1375</v>
      </c>
    </row>
    <row r="66" spans="8:18" x14ac:dyDescent="0.25">
      <c r="H66" t="s">
        <v>1083</v>
      </c>
      <c r="I66" t="s">
        <v>1084</v>
      </c>
      <c r="J66" t="s">
        <v>1085</v>
      </c>
      <c r="P66" t="s">
        <v>1376</v>
      </c>
      <c r="Q66" t="s">
        <v>1377</v>
      </c>
      <c r="R66" t="s">
        <v>1378</v>
      </c>
    </row>
    <row r="67" spans="8:18" x14ac:dyDescent="0.25">
      <c r="H67" t="s">
        <v>1086</v>
      </c>
      <c r="I67" t="s">
        <v>1087</v>
      </c>
      <c r="J67" t="s">
        <v>1088</v>
      </c>
      <c r="P67" t="s">
        <v>1379</v>
      </c>
      <c r="Q67" t="s">
        <v>1380</v>
      </c>
      <c r="R67" t="s">
        <v>1381</v>
      </c>
    </row>
    <row r="68" spans="8:18" x14ac:dyDescent="0.25">
      <c r="H68" t="s">
        <v>1089</v>
      </c>
      <c r="I68" t="s">
        <v>1090</v>
      </c>
      <c r="J68" t="s">
        <v>1091</v>
      </c>
      <c r="P68" t="s">
        <v>1382</v>
      </c>
      <c r="Q68" t="s">
        <v>1383</v>
      </c>
      <c r="R68" t="s">
        <v>1384</v>
      </c>
    </row>
    <row r="69" spans="8:18" x14ac:dyDescent="0.25">
      <c r="H69" t="s">
        <v>1092</v>
      </c>
      <c r="I69" t="s">
        <v>1093</v>
      </c>
      <c r="J69" t="s">
        <v>1094</v>
      </c>
      <c r="P69" t="s">
        <v>1385</v>
      </c>
      <c r="Q69" t="s">
        <v>1386</v>
      </c>
      <c r="R69" t="s">
        <v>1387</v>
      </c>
    </row>
    <row r="70" spans="8:18" x14ac:dyDescent="0.25">
      <c r="H70" t="s">
        <v>1095</v>
      </c>
      <c r="I70" t="s">
        <v>1096</v>
      </c>
      <c r="J70" t="s">
        <v>1097</v>
      </c>
      <c r="P70" t="s">
        <v>1388</v>
      </c>
      <c r="Q70" t="s">
        <v>1389</v>
      </c>
      <c r="R70" t="s">
        <v>1390</v>
      </c>
    </row>
    <row r="71" spans="8:18" x14ac:dyDescent="0.25">
      <c r="H71" t="s">
        <v>1098</v>
      </c>
      <c r="I71" t="s">
        <v>1099</v>
      </c>
      <c r="J71" t="s">
        <v>1100</v>
      </c>
      <c r="P71" t="s">
        <v>1391</v>
      </c>
      <c r="Q71" t="s">
        <v>1392</v>
      </c>
      <c r="R71" t="s">
        <v>1393</v>
      </c>
    </row>
    <row r="72" spans="8:18" x14ac:dyDescent="0.25">
      <c r="H72" t="s">
        <v>1101</v>
      </c>
      <c r="I72" t="s">
        <v>1102</v>
      </c>
      <c r="J72" t="s">
        <v>1103</v>
      </c>
      <c r="P72" t="s">
        <v>1394</v>
      </c>
      <c r="Q72" t="s">
        <v>1395</v>
      </c>
      <c r="R72" t="s">
        <v>1396</v>
      </c>
    </row>
    <row r="73" spans="8:18" x14ac:dyDescent="0.25">
      <c r="H73" t="s">
        <v>1104</v>
      </c>
      <c r="I73" t="s">
        <v>1105</v>
      </c>
      <c r="J73" t="s">
        <v>1106</v>
      </c>
      <c r="P73" t="s">
        <v>1397</v>
      </c>
      <c r="Q73" t="s">
        <v>1398</v>
      </c>
      <c r="R73" t="s">
        <v>1399</v>
      </c>
    </row>
    <row r="74" spans="8:18" x14ac:dyDescent="0.25">
      <c r="H74" t="s">
        <v>1107</v>
      </c>
      <c r="I74" t="s">
        <v>1108</v>
      </c>
      <c r="J74" t="s">
        <v>1109</v>
      </c>
      <c r="P74" t="s">
        <v>1400</v>
      </c>
      <c r="Q74" t="s">
        <v>1401</v>
      </c>
      <c r="R74" t="s">
        <v>1402</v>
      </c>
    </row>
    <row r="75" spans="8:18" x14ac:dyDescent="0.25">
      <c r="H75" t="s">
        <v>1110</v>
      </c>
      <c r="I75" t="s">
        <v>1111</v>
      </c>
      <c r="J75" t="s">
        <v>1112</v>
      </c>
      <c r="P75" t="s">
        <v>1403</v>
      </c>
      <c r="Q75" t="s">
        <v>1404</v>
      </c>
      <c r="R75" t="s">
        <v>1405</v>
      </c>
    </row>
    <row r="76" spans="8:18" x14ac:dyDescent="0.25">
      <c r="H76" t="s">
        <v>1113</v>
      </c>
      <c r="I76" t="s">
        <v>1114</v>
      </c>
      <c r="J76" t="s">
        <v>1115</v>
      </c>
      <c r="P76" t="s">
        <v>1406</v>
      </c>
      <c r="Q76" t="s">
        <v>1407</v>
      </c>
      <c r="R76" t="s">
        <v>1408</v>
      </c>
    </row>
    <row r="77" spans="8:18" x14ac:dyDescent="0.25">
      <c r="H77" t="s">
        <v>1116</v>
      </c>
      <c r="I77" t="s">
        <v>1117</v>
      </c>
      <c r="J77" t="s">
        <v>1118</v>
      </c>
      <c r="P77" t="s">
        <v>1409</v>
      </c>
      <c r="Q77" t="s">
        <v>1410</v>
      </c>
      <c r="R77" t="s">
        <v>1411</v>
      </c>
    </row>
    <row r="78" spans="8:18" x14ac:dyDescent="0.25">
      <c r="H78" t="s">
        <v>1119</v>
      </c>
      <c r="I78" t="s">
        <v>1120</v>
      </c>
      <c r="J78" t="s">
        <v>1121</v>
      </c>
      <c r="P78" t="s">
        <v>1412</v>
      </c>
      <c r="Q78" t="s">
        <v>1413</v>
      </c>
      <c r="R78" t="s">
        <v>1414</v>
      </c>
    </row>
    <row r="79" spans="8:18" x14ac:dyDescent="0.25">
      <c r="H79" t="s">
        <v>1122</v>
      </c>
      <c r="I79" t="s">
        <v>1123</v>
      </c>
      <c r="J79" t="s">
        <v>1124</v>
      </c>
      <c r="P79" t="s">
        <v>1415</v>
      </c>
      <c r="Q79" t="s">
        <v>1416</v>
      </c>
      <c r="R79" t="s">
        <v>1417</v>
      </c>
    </row>
    <row r="80" spans="8:18" x14ac:dyDescent="0.25">
      <c r="H80" t="s">
        <v>1125</v>
      </c>
      <c r="I80" t="s">
        <v>1126</v>
      </c>
      <c r="J80" t="s">
        <v>1127</v>
      </c>
      <c r="P80" t="s">
        <v>1418</v>
      </c>
      <c r="Q80" t="s">
        <v>1419</v>
      </c>
      <c r="R80" t="s">
        <v>1420</v>
      </c>
    </row>
    <row r="81" spans="8:18" x14ac:dyDescent="0.25">
      <c r="H81" t="s">
        <v>1128</v>
      </c>
      <c r="I81" t="s">
        <v>1129</v>
      </c>
      <c r="J81" t="s">
        <v>1130</v>
      </c>
      <c r="P81" t="s">
        <v>1421</v>
      </c>
      <c r="Q81" t="s">
        <v>1422</v>
      </c>
      <c r="R81" t="s">
        <v>1423</v>
      </c>
    </row>
    <row r="82" spans="8:18" x14ac:dyDescent="0.25">
      <c r="H82" t="s">
        <v>1131</v>
      </c>
      <c r="I82" t="s">
        <v>1132</v>
      </c>
      <c r="J82" t="s">
        <v>1133</v>
      </c>
      <c r="P82" t="s">
        <v>1424</v>
      </c>
      <c r="Q82" t="s">
        <v>1425</v>
      </c>
      <c r="R82" t="s">
        <v>1426</v>
      </c>
    </row>
    <row r="83" spans="8:18" x14ac:dyDescent="0.25">
      <c r="H83" t="s">
        <v>1134</v>
      </c>
      <c r="I83" t="s">
        <v>1135</v>
      </c>
      <c r="J83" t="s">
        <v>1136</v>
      </c>
      <c r="P83" t="s">
        <v>1427</v>
      </c>
      <c r="Q83" t="s">
        <v>1428</v>
      </c>
      <c r="R83" t="s">
        <v>1429</v>
      </c>
    </row>
    <row r="84" spans="8:18" x14ac:dyDescent="0.25">
      <c r="H84" t="s">
        <v>1137</v>
      </c>
      <c r="I84" t="s">
        <v>1138</v>
      </c>
      <c r="J84" t="s">
        <v>1139</v>
      </c>
      <c r="P84" t="s">
        <v>1430</v>
      </c>
      <c r="Q84" t="s">
        <v>1431</v>
      </c>
      <c r="R84" t="s">
        <v>1432</v>
      </c>
    </row>
    <row r="85" spans="8:18" x14ac:dyDescent="0.25">
      <c r="H85" t="s">
        <v>1140</v>
      </c>
      <c r="I85" t="s">
        <v>1141</v>
      </c>
      <c r="J85" t="s">
        <v>1142</v>
      </c>
      <c r="P85" t="s">
        <v>1433</v>
      </c>
      <c r="Q85" t="s">
        <v>1434</v>
      </c>
      <c r="R85" t="s">
        <v>1435</v>
      </c>
    </row>
    <row r="86" spans="8:18" x14ac:dyDescent="0.25">
      <c r="H86" t="s">
        <v>1143</v>
      </c>
      <c r="I86" t="s">
        <v>1144</v>
      </c>
      <c r="J86" t="s">
        <v>1145</v>
      </c>
      <c r="P86" t="s">
        <v>1436</v>
      </c>
      <c r="Q86" t="s">
        <v>1437</v>
      </c>
      <c r="R86" t="s">
        <v>1438</v>
      </c>
    </row>
    <row r="87" spans="8:18" x14ac:dyDescent="0.25">
      <c r="H87" t="s">
        <v>1146</v>
      </c>
      <c r="I87" t="s">
        <v>1147</v>
      </c>
      <c r="J87" t="s">
        <v>1148</v>
      </c>
      <c r="P87" t="s">
        <v>1439</v>
      </c>
      <c r="Q87" t="s">
        <v>1440</v>
      </c>
      <c r="R87" t="s">
        <v>1441</v>
      </c>
    </row>
    <row r="88" spans="8:18" x14ac:dyDescent="0.25">
      <c r="H88" t="s">
        <v>1149</v>
      </c>
      <c r="I88" t="s">
        <v>1150</v>
      </c>
      <c r="J88" t="s">
        <v>1151</v>
      </c>
      <c r="P88" t="s">
        <v>1442</v>
      </c>
      <c r="Q88" t="s">
        <v>1443</v>
      </c>
      <c r="R88" t="s">
        <v>1444</v>
      </c>
    </row>
    <row r="89" spans="8:18" x14ac:dyDescent="0.25">
      <c r="H89" t="s">
        <v>1152</v>
      </c>
      <c r="I89" t="s">
        <v>1153</v>
      </c>
      <c r="J89" t="s">
        <v>1154</v>
      </c>
      <c r="P89" t="s">
        <v>1445</v>
      </c>
      <c r="Q89" t="s">
        <v>1446</v>
      </c>
      <c r="R89" t="s">
        <v>1447</v>
      </c>
    </row>
    <row r="90" spans="8:18" x14ac:dyDescent="0.25">
      <c r="H90" t="s">
        <v>1155</v>
      </c>
      <c r="I90" t="s">
        <v>1156</v>
      </c>
      <c r="J90" t="s">
        <v>1157</v>
      </c>
      <c r="P90" t="s">
        <v>1448</v>
      </c>
      <c r="Q90" t="s">
        <v>1449</v>
      </c>
      <c r="R90" t="s">
        <v>1450</v>
      </c>
    </row>
    <row r="91" spans="8:18" x14ac:dyDescent="0.25">
      <c r="H91" t="s">
        <v>1158</v>
      </c>
      <c r="I91" t="s">
        <v>1159</v>
      </c>
      <c r="J91" t="s">
        <v>1160</v>
      </c>
      <c r="P91" t="s">
        <v>1451</v>
      </c>
      <c r="Q91" t="s">
        <v>1452</v>
      </c>
      <c r="R91" t="s">
        <v>1453</v>
      </c>
    </row>
    <row r="92" spans="8:18" x14ac:dyDescent="0.25">
      <c r="H92" t="s">
        <v>1161</v>
      </c>
      <c r="I92" t="s">
        <v>1162</v>
      </c>
      <c r="J92" t="s">
        <v>1163</v>
      </c>
      <c r="P92" t="s">
        <v>1454</v>
      </c>
      <c r="Q92" t="s">
        <v>1455</v>
      </c>
      <c r="R92" t="s">
        <v>1456</v>
      </c>
    </row>
    <row r="93" spans="8:18" x14ac:dyDescent="0.25">
      <c r="H93" t="s">
        <v>1164</v>
      </c>
      <c r="I93" t="s">
        <v>1165</v>
      </c>
      <c r="J93" t="s">
        <v>1166</v>
      </c>
      <c r="P93" t="s">
        <v>1457</v>
      </c>
      <c r="Q93" t="s">
        <v>1458</v>
      </c>
      <c r="R93" t="s">
        <v>1459</v>
      </c>
    </row>
    <row r="94" spans="8:18" x14ac:dyDescent="0.25">
      <c r="H94" t="s">
        <v>1167</v>
      </c>
      <c r="I94" t="s">
        <v>1168</v>
      </c>
      <c r="J94" t="s">
        <v>1169</v>
      </c>
      <c r="P94" t="s">
        <v>1460</v>
      </c>
      <c r="Q94" t="s">
        <v>1461</v>
      </c>
      <c r="R94" t="s">
        <v>1462</v>
      </c>
    </row>
    <row r="95" spans="8:18" x14ac:dyDescent="0.25">
      <c r="H95" t="s">
        <v>1170</v>
      </c>
      <c r="I95" t="s">
        <v>1171</v>
      </c>
      <c r="J95" t="s">
        <v>1172</v>
      </c>
      <c r="P95" t="s">
        <v>1463</v>
      </c>
      <c r="Q95" t="s">
        <v>1464</v>
      </c>
      <c r="R95" t="s">
        <v>1465</v>
      </c>
    </row>
    <row r="96" spans="8:18" x14ac:dyDescent="0.25">
      <c r="H96" t="s">
        <v>1173</v>
      </c>
      <c r="I96" t="s">
        <v>1174</v>
      </c>
      <c r="J96" t="s">
        <v>1175</v>
      </c>
      <c r="P96" t="s">
        <v>1466</v>
      </c>
      <c r="Q96" t="s">
        <v>1467</v>
      </c>
      <c r="R96" t="s">
        <v>1468</v>
      </c>
    </row>
    <row r="97" spans="8:18" x14ac:dyDescent="0.25">
      <c r="H97" t="s">
        <v>1176</v>
      </c>
      <c r="I97" t="s">
        <v>1177</v>
      </c>
      <c r="J97" t="s">
        <v>1178</v>
      </c>
      <c r="P97" t="s">
        <v>1469</v>
      </c>
      <c r="Q97" t="s">
        <v>1470</v>
      </c>
      <c r="R97" t="s">
        <v>1471</v>
      </c>
    </row>
    <row r="98" spans="8:18" x14ac:dyDescent="0.25">
      <c r="H98" t="s">
        <v>1179</v>
      </c>
      <c r="I98" t="s">
        <v>1180</v>
      </c>
      <c r="J98" t="s">
        <v>1181</v>
      </c>
      <c r="P98" t="s">
        <v>1472</v>
      </c>
      <c r="Q98" t="s">
        <v>1473</v>
      </c>
      <c r="R98" t="s">
        <v>1474</v>
      </c>
    </row>
    <row r="99" spans="8:18" x14ac:dyDescent="0.25">
      <c r="H99" t="s">
        <v>1182</v>
      </c>
      <c r="I99" t="s">
        <v>1183</v>
      </c>
      <c r="J99" t="s">
        <v>1184</v>
      </c>
      <c r="P99" t="s">
        <v>1475</v>
      </c>
      <c r="Q99" t="s">
        <v>1476</v>
      </c>
      <c r="R99" t="s">
        <v>1477</v>
      </c>
    </row>
    <row r="100" spans="8:18" x14ac:dyDescent="0.25">
      <c r="H100" t="s">
        <v>1185</v>
      </c>
      <c r="I100" t="s">
        <v>1186</v>
      </c>
      <c r="J100" t="s">
        <v>1187</v>
      </c>
      <c r="P100" t="s">
        <v>1478</v>
      </c>
      <c r="Q100" t="s">
        <v>1479</v>
      </c>
      <c r="R100" t="s">
        <v>1480</v>
      </c>
    </row>
    <row r="101" spans="8:18" x14ac:dyDescent="0.25">
      <c r="H101" t="s">
        <v>1188</v>
      </c>
      <c r="I101" t="s">
        <v>1189</v>
      </c>
      <c r="J101" t="s">
        <v>1190</v>
      </c>
      <c r="P101" t="s">
        <v>1481</v>
      </c>
      <c r="Q101" t="s">
        <v>1165</v>
      </c>
      <c r="R101" t="s">
        <v>1482</v>
      </c>
    </row>
    <row r="102" spans="8:18" x14ac:dyDescent="0.25">
      <c r="H102" t="s">
        <v>1191</v>
      </c>
      <c r="I102" t="s">
        <v>1192</v>
      </c>
      <c r="J102" t="s">
        <v>1193</v>
      </c>
      <c r="P102" t="s">
        <v>1483</v>
      </c>
      <c r="Q102" t="s">
        <v>1484</v>
      </c>
      <c r="R102" t="s">
        <v>1485</v>
      </c>
    </row>
    <row r="103" spans="8:18" x14ac:dyDescent="0.25">
      <c r="H103" t="s">
        <v>1194</v>
      </c>
      <c r="I103" t="s">
        <v>1195</v>
      </c>
      <c r="J103" t="s">
        <v>1196</v>
      </c>
      <c r="P103" t="s">
        <v>1486</v>
      </c>
      <c r="Q103" t="s">
        <v>1487</v>
      </c>
      <c r="R103" t="s">
        <v>1488</v>
      </c>
    </row>
    <row r="104" spans="8:18" x14ac:dyDescent="0.25">
      <c r="H104" t="s">
        <v>1197</v>
      </c>
      <c r="I104" t="s">
        <v>1198</v>
      </c>
      <c r="J104" t="s">
        <v>1199</v>
      </c>
      <c r="P104" t="s">
        <v>1489</v>
      </c>
      <c r="Q104" t="s">
        <v>1490</v>
      </c>
      <c r="R104" t="s">
        <v>1491</v>
      </c>
    </row>
    <row r="105" spans="8:18" x14ac:dyDescent="0.25">
      <c r="H105" t="s">
        <v>1200</v>
      </c>
      <c r="I105" t="s">
        <v>1201</v>
      </c>
      <c r="J105" t="s">
        <v>1202</v>
      </c>
      <c r="P105" t="s">
        <v>1492</v>
      </c>
      <c r="Q105" t="s">
        <v>1493</v>
      </c>
      <c r="R105" t="s">
        <v>1494</v>
      </c>
    </row>
    <row r="106" spans="8:18" x14ac:dyDescent="0.25">
      <c r="H106" t="s">
        <v>1203</v>
      </c>
      <c r="I106" t="s">
        <v>1204</v>
      </c>
      <c r="J106" t="s">
        <v>1205</v>
      </c>
      <c r="P106" t="s">
        <v>1495</v>
      </c>
      <c r="Q106" t="s">
        <v>1496</v>
      </c>
      <c r="R106" t="s">
        <v>1497</v>
      </c>
    </row>
    <row r="107" spans="8:18" x14ac:dyDescent="0.25">
      <c r="H107" t="s">
        <v>1206</v>
      </c>
      <c r="I107" t="s">
        <v>1207</v>
      </c>
      <c r="J107" t="s">
        <v>1208</v>
      </c>
      <c r="P107" t="s">
        <v>1498</v>
      </c>
      <c r="Q107" t="s">
        <v>1108</v>
      </c>
      <c r="R107" t="s">
        <v>1499</v>
      </c>
    </row>
    <row r="108" spans="8:18" x14ac:dyDescent="0.25">
      <c r="H108" t="s">
        <v>1209</v>
      </c>
      <c r="I108" t="s">
        <v>1210</v>
      </c>
      <c r="J108" t="s">
        <v>1211</v>
      </c>
      <c r="P108" t="s">
        <v>1500</v>
      </c>
      <c r="Q108" t="s">
        <v>1501</v>
      </c>
      <c r="R108" t="s">
        <v>1502</v>
      </c>
    </row>
    <row r="109" spans="8:18" x14ac:dyDescent="0.25">
      <c r="H109" t="s">
        <v>1212</v>
      </c>
      <c r="I109" t="s">
        <v>1213</v>
      </c>
      <c r="J109" t="s">
        <v>1214</v>
      </c>
      <c r="P109" t="s">
        <v>1503</v>
      </c>
      <c r="Q109" t="s">
        <v>1504</v>
      </c>
      <c r="R109" t="s">
        <v>1505</v>
      </c>
    </row>
    <row r="110" spans="8:18" x14ac:dyDescent="0.25">
      <c r="H110" t="s">
        <v>1215</v>
      </c>
      <c r="I110" t="s">
        <v>1216</v>
      </c>
      <c r="J110" t="s">
        <v>1217</v>
      </c>
      <c r="P110" t="s">
        <v>1506</v>
      </c>
      <c r="Q110" t="s">
        <v>1507</v>
      </c>
      <c r="R110" t="s">
        <v>1508</v>
      </c>
    </row>
    <row r="111" spans="8:18" x14ac:dyDescent="0.25">
      <c r="H111" t="s">
        <v>1218</v>
      </c>
      <c r="I111" t="s">
        <v>1219</v>
      </c>
      <c r="J111" t="s">
        <v>1220</v>
      </c>
      <c r="P111" t="s">
        <v>1509</v>
      </c>
      <c r="Q111" t="s">
        <v>1510</v>
      </c>
      <c r="R111" t="s">
        <v>1511</v>
      </c>
    </row>
    <row r="112" spans="8:18" x14ac:dyDescent="0.25">
      <c r="H112" t="s">
        <v>1221</v>
      </c>
      <c r="I112" t="s">
        <v>1222</v>
      </c>
      <c r="J112" t="s">
        <v>1223</v>
      </c>
      <c r="P112" t="s">
        <v>1512</v>
      </c>
      <c r="Q112" t="s">
        <v>1513</v>
      </c>
      <c r="R112" t="s">
        <v>1514</v>
      </c>
    </row>
    <row r="113" spans="8:18" x14ac:dyDescent="0.25">
      <c r="H113" t="s">
        <v>1224</v>
      </c>
      <c r="I113" t="s">
        <v>1225</v>
      </c>
      <c r="J113" t="s">
        <v>1226</v>
      </c>
      <c r="P113" t="s">
        <v>1515</v>
      </c>
      <c r="Q113" t="s">
        <v>1516</v>
      </c>
      <c r="R113" t="s">
        <v>1517</v>
      </c>
    </row>
    <row r="114" spans="8:18" x14ac:dyDescent="0.25">
      <c r="P114" t="s">
        <v>1518</v>
      </c>
      <c r="Q114" t="s">
        <v>1519</v>
      </c>
      <c r="R114" t="s">
        <v>1520</v>
      </c>
    </row>
    <row r="115" spans="8:18" x14ac:dyDescent="0.25">
      <c r="P115" t="s">
        <v>1521</v>
      </c>
      <c r="Q115" t="s">
        <v>1522</v>
      </c>
      <c r="R115" t="s">
        <v>1523</v>
      </c>
    </row>
    <row r="116" spans="8:18" x14ac:dyDescent="0.25">
      <c r="P116" t="s">
        <v>1524</v>
      </c>
      <c r="Q116" t="s">
        <v>1525</v>
      </c>
      <c r="R116" t="s">
        <v>1526</v>
      </c>
    </row>
  </sheetData>
  <mergeCells count="12">
    <mergeCell ref="E14:F14"/>
    <mergeCell ref="C11:C12"/>
    <mergeCell ref="F11:F12"/>
    <mergeCell ref="B14:C15"/>
    <mergeCell ref="I6:J7"/>
    <mergeCell ref="M6:M7"/>
    <mergeCell ref="L4:N4"/>
    <mergeCell ref="P4:R4"/>
    <mergeCell ref="R6:R7"/>
    <mergeCell ref="B4:C4"/>
    <mergeCell ref="E4:F4"/>
    <mergeCell ref="H4:J4"/>
  </mergeCells>
  <hyperlinks>
    <hyperlink ref="C11" r:id="rId1" xr:uid="{9B830095-5659-4532-BDA2-BD78D4A58743}"/>
    <hyperlink ref="B7" r:id="rId2" xr:uid="{BDB9E36B-FB02-49F6-9AE3-B42CE56E1367}"/>
    <hyperlink ref="B14" r:id="rId3" xr:uid="{E261B1A4-3FF0-40BA-BE10-B2FEAB479144}"/>
    <hyperlink ref="E14" r:id="rId4" xr:uid="{63C6D5AE-5F49-4CBA-A26A-642C35B27671}"/>
    <hyperlink ref="I6" r:id="rId5" xr:uid="{44A107EC-3B23-4F16-BF05-C569138EFB89}"/>
    <hyperlink ref="H14" r:id="rId6" xr:uid="{D9AA5A74-1559-4086-ABD7-36F616919E7C}"/>
    <hyperlink ref="F11" r:id="rId7" xr:uid="{ADBDEC2A-60B3-47CC-A2BE-F14A8758E616}"/>
    <hyperlink ref="L14" r:id="rId8" xr:uid="{D1B789CC-0897-4F92-BA08-BDFC9BA60E86}"/>
    <hyperlink ref="P14" r:id="rId9" xr:uid="{C02323B4-2672-4A2F-9459-33F8CF1DD54E}"/>
    <hyperlink ref="R6" r:id="rId10" xr:uid="{5B9C4355-691B-4DD0-AC2D-2E90A999A9A1}"/>
  </hyperlinks>
  <pageMargins left="0.7" right="0.7" top="0.75" bottom="0.75" header="0.3" footer="0.3"/>
  <tableParts count="4">
    <tablePart r:id="rId11"/>
    <tablePart r:id="rId12"/>
    <tablePart r:id="rId13"/>
    <tablePart r:id="rId1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F76255-6951-4E66-85D6-4AC9F99A8D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Token</vt:lpstr>
      <vt:lpstr>Użytkownicy</vt:lpstr>
      <vt:lpstr>Profil</vt:lpstr>
      <vt:lpstr>Tweet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Jakub Rybacki</dc:creator>
  <cp:lastModifiedBy>Jakub Rybacki</cp:lastModifiedBy>
  <dcterms:created xsi:type="dcterms:W3CDTF">2022-04-19T08:59:21Z</dcterms:created>
  <dcterms:modified xsi:type="dcterms:W3CDTF">2022-04-20T07:57:56Z</dcterms:modified>
</cp:coreProperties>
</file>